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YECTOS PYTHON\BASCULA\"/>
    </mc:Choice>
  </mc:AlternateContent>
  <xr:revisionPtr revIDLastSave="0" documentId="8_{0B930C2A-267C-47B5-8974-C2F4B6C2E637}" xr6:coauthVersionLast="47" xr6:coauthVersionMax="47" xr10:uidLastSave="{00000000-0000-0000-0000-000000000000}"/>
  <bookViews>
    <workbookView xWindow="-108" yWindow="-108" windowWidth="23256" windowHeight="12456" xr2:uid="{88FE6A22-D457-4183-AC88-3E77E6F20E28}"/>
  </bookViews>
  <sheets>
    <sheet name="Catalogo de proveedores" sheetId="1" r:id="rId1"/>
    <sheet name="Codigo de colores " sheetId="3" r:id="rId2"/>
    <sheet name="Lista de proveedores Obsoleta" sheetId="7" r:id="rId3"/>
    <sheet name="Lista de proveedores Aleantes" sheetId="8" r:id="rId4"/>
    <sheet name="Lista de proveedores No aprobad" sheetId="4" r:id="rId5"/>
    <sheet name="Lista de proveedores Aprobados" sheetId="6" r:id="rId6"/>
    <sheet name="Codificación de MP" sheetId="2" r:id="rId7"/>
  </sheets>
  <definedNames>
    <definedName name="_xlnm._FilterDatabase" localSheetId="3" hidden="1">'Lista de proveedores Aleantes'!$A$5:$M$37</definedName>
    <definedName name="_xlnm._FilterDatabase" localSheetId="5" hidden="1">'Lista de proveedores Aprobados'!$A$5:$M$38</definedName>
    <definedName name="_xlnm._FilterDatabase" localSheetId="4" hidden="1">'Lista de proveedores No aprobad'!$A$5:$M$53</definedName>
    <definedName name="_xlnm._FilterDatabase" localSheetId="2" hidden="1">'Lista de proveedores Obsoleta'!$A$5:$O$216</definedName>
    <definedName name="_xlnm.Print_Area" localSheetId="3">'Lista de proveedores Aleantes'!$A$1:$M$34</definedName>
    <definedName name="_xlnm.Print_Area" localSheetId="5">'Lista de proveedores Aprobados'!$A$1:$M$33</definedName>
    <definedName name="_xlnm.Print_Area" localSheetId="4">'Lista de proveedores No aprobad'!$A$1:$M$45</definedName>
    <definedName name="_xlnm.Print_Area" localSheetId="2">'Lista de proveedores Obsoleta'!$A$1:$Q$203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9" i="1" l="1"/>
  <c r="A110" i="1" s="1"/>
  <c r="A111" i="1" s="1"/>
  <c r="A112" i="1" s="1"/>
  <c r="A105" i="1"/>
  <c r="A106" i="1" s="1"/>
  <c r="A107" i="1" s="1"/>
  <c r="A83" i="1"/>
  <c r="A84" i="1" s="1"/>
  <c r="A85" i="1" s="1"/>
  <c r="A86" i="1" s="1"/>
  <c r="A87" i="1" s="1"/>
  <c r="A88" i="1" s="1"/>
  <c r="A91" i="1" s="1"/>
  <c r="A92" i="1" s="1"/>
  <c r="A93" i="1" s="1"/>
  <c r="A94" i="1" s="1"/>
  <c r="A98" i="1" s="1"/>
  <c r="A99" i="1" s="1"/>
  <c r="A100" i="1" s="1"/>
  <c r="A101" i="1" s="1"/>
  <c r="A102" i="1" s="1"/>
  <c r="A212" i="7"/>
  <c r="A213" i="7" s="1"/>
  <c r="A214" i="7" s="1"/>
  <c r="A215" i="7" s="1"/>
  <c r="A216" i="7" s="1"/>
  <c r="A208" i="7"/>
  <c r="A209" i="7" s="1"/>
  <c r="A210" i="7" s="1"/>
  <c r="A163" i="7"/>
  <c r="A165" i="7" s="1"/>
  <c r="A171" i="7" s="1"/>
  <c r="A174" i="7" s="1"/>
  <c r="A175" i="7" s="1"/>
  <c r="A178" i="7" s="1"/>
  <c r="A179" i="7" s="1"/>
  <c r="A182" i="7" s="1"/>
  <c r="A185" i="7" s="1"/>
  <c r="A186" i="7" s="1"/>
  <c r="A187" i="7" s="1"/>
  <c r="A188" i="7" s="1"/>
  <c r="A189" i="7" s="1"/>
  <c r="A190" i="7" s="1"/>
  <c r="A191" i="7" s="1"/>
  <c r="A194" i="7" s="1"/>
  <c r="A195" i="7" s="1"/>
  <c r="A196" i="7" s="1"/>
  <c r="A197" i="7" s="1"/>
  <c r="A201" i="7" s="1"/>
  <c r="A202" i="7" s="1"/>
  <c r="A203" i="7" s="1"/>
  <c r="A204" i="7" s="1"/>
  <c r="A205" i="7" s="1"/>
  <c r="A43" i="7"/>
  <c r="A46" i="7" s="1"/>
  <c r="A47" i="7" s="1"/>
  <c r="A48" i="7" s="1"/>
  <c r="A49" i="7" s="1"/>
  <c r="A55" i="7" s="1"/>
  <c r="A57" i="7" s="1"/>
  <c r="A58" i="7" s="1"/>
  <c r="A60" i="7" s="1"/>
  <c r="A61" i="7" s="1"/>
  <c r="A63" i="7" s="1"/>
  <c r="A67" i="7" s="1"/>
  <c r="A69" i="7" s="1"/>
  <c r="A70" i="7" s="1"/>
  <c r="A75" i="7" s="1"/>
  <c r="A76" i="7" s="1"/>
  <c r="A87" i="7" s="1"/>
  <c r="A88" i="7" s="1"/>
  <c r="A89" i="7" s="1"/>
  <c r="A90" i="7" s="1"/>
  <c r="A91" i="7" s="1"/>
  <c r="A96" i="7" s="1"/>
  <c r="A97" i="7" s="1"/>
  <c r="A101" i="7" s="1"/>
  <c r="A105" i="7" s="1"/>
  <c r="A108" i="7" s="1"/>
  <c r="A111" i="7" s="1"/>
  <c r="A115" i="7" s="1"/>
  <c r="A116" i="7" s="1"/>
  <c r="A117" i="7" s="1"/>
  <c r="A121" i="7" s="1"/>
  <c r="A122" i="7" s="1"/>
  <c r="A123" i="7" s="1"/>
  <c r="A124" i="7" s="1"/>
  <c r="A128" i="7" s="1"/>
  <c r="A129" i="7" s="1"/>
  <c r="A130" i="7" s="1"/>
  <c r="A131" i="7" s="1"/>
  <c r="A134" i="7" s="1"/>
  <c r="A136" i="7" s="1"/>
  <c r="A140" i="7" s="1"/>
  <c r="A141" i="7" s="1"/>
  <c r="A142" i="7" s="1"/>
  <c r="A145" i="7" s="1"/>
  <c r="A148" i="7" s="1"/>
  <c r="A151" i="7" s="1"/>
  <c r="A152" i="7" s="1"/>
  <c r="A156" i="7" s="1"/>
  <c r="A157" i="7" s="1"/>
  <c r="A158" i="7" s="1"/>
  <c r="A159" i="7" s="1"/>
  <c r="A27" i="7"/>
  <c r="A28" i="7" s="1"/>
  <c r="A29" i="7" s="1"/>
  <c r="A32" i="7" s="1"/>
  <c r="A33" i="7" s="1"/>
  <c r="A37" i="7" s="1"/>
  <c r="A9" i="7"/>
  <c r="A13" i="7" s="1"/>
  <c r="A14" i="7" s="1"/>
  <c r="A15" i="7" s="1"/>
  <c r="A20" i="7" s="1"/>
  <c r="A21" i="7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<sst xmlns="http://schemas.openxmlformats.org/spreadsheetml/2006/main" count="2223" uniqueCount="633">
  <si>
    <t xml:space="preserve">DEPARTAMENTO </t>
  </si>
  <si>
    <t>TÍTULO</t>
  </si>
  <si>
    <t>OBJETIVO</t>
  </si>
  <si>
    <t>Codigo de Proveedor (PIQ)</t>
  </si>
  <si>
    <t>Estatus</t>
  </si>
  <si>
    <t>N° de proveedor</t>
  </si>
  <si>
    <t xml:space="preserve">Compras </t>
  </si>
  <si>
    <t>Corporativa Vulcahierro, S.A.P.I de C.V</t>
  </si>
  <si>
    <t>Luis Alfonso Mora Conchas</t>
  </si>
  <si>
    <t>Ma Tlalli, S.A de C.V</t>
  </si>
  <si>
    <t>REMETA, S.A de C.V</t>
  </si>
  <si>
    <t>SMS FOREMEX, S. de R.L de C.V</t>
  </si>
  <si>
    <t>Aso Alloy de México, S.A de C.V</t>
  </si>
  <si>
    <t>Tromap Comercial S.A de C.V</t>
  </si>
  <si>
    <t>Faist Alucast S. de R.L de C.V</t>
  </si>
  <si>
    <t>Jimenez Palomo Paula</t>
  </si>
  <si>
    <t>Comercializadora MC</t>
  </si>
  <si>
    <t>Rongtai Industrial Development Leon S de RL de CV</t>
  </si>
  <si>
    <t>Toyota Tsusho México SA DE CV</t>
  </si>
  <si>
    <t>Tomas Rafael Toribio Hernandez</t>
  </si>
  <si>
    <t>Recuperación Industrial del Bajío SA de CV</t>
  </si>
  <si>
    <t>Metales Calvo SA de CV</t>
  </si>
  <si>
    <t>Pablo López Hernández</t>
  </si>
  <si>
    <t>Global Cast Alloy S.A de C.V.</t>
  </si>
  <si>
    <t>Roi Briquetting S.A. de C.V.</t>
  </si>
  <si>
    <t>Olimpo S.A. de C.V.</t>
  </si>
  <si>
    <t>Gama Job S.A. de C.V.</t>
  </si>
  <si>
    <t>Kaizen Mexicana S.A. de C.V.</t>
  </si>
  <si>
    <t>Cimetal S.A. de C.V.</t>
  </si>
  <si>
    <t>Raqsa S.A. de C.V.</t>
  </si>
  <si>
    <t>Non Ferrous S.A. de C.V.</t>
  </si>
  <si>
    <t>Héctor de la Fuente Burgos</t>
  </si>
  <si>
    <t>Omnisource S.A. de C.V.</t>
  </si>
  <si>
    <t>Recuperadora de metales DDR S.A. de C.V.</t>
  </si>
  <si>
    <t>Marco Metales S.A. de C.V.</t>
  </si>
  <si>
    <t>Possehl México S.A. de C.V.</t>
  </si>
  <si>
    <t>Nedec México S.A. de C.V.</t>
  </si>
  <si>
    <t>Maria Fernanda Hernandez Hernandez</t>
  </si>
  <si>
    <t>IPI Refractarios S.A. de C.V.</t>
  </si>
  <si>
    <t>Mario Alberto Castillo Quiroz</t>
  </si>
  <si>
    <t>JRG Comercial S.A. de C.V.</t>
  </si>
  <si>
    <t>Maria Guadalupe Manriquez Torres</t>
  </si>
  <si>
    <t>Ma. Isabel Bustamante Dominguez</t>
  </si>
  <si>
    <t>Daniel Chowell</t>
  </si>
  <si>
    <t>Marco Antonio Ramirez</t>
  </si>
  <si>
    <t>Recuperadora "Del Valle"</t>
  </si>
  <si>
    <t>Industriales Inrecba</t>
  </si>
  <si>
    <t>Arturo Guevara</t>
  </si>
  <si>
    <t>Recicladora Las Hadas</t>
  </si>
  <si>
    <t xml:space="preserve">Reclicladora Camila </t>
  </si>
  <si>
    <t>Martín Díaz</t>
  </si>
  <si>
    <t>Ferro Alloys</t>
  </si>
  <si>
    <t>ICZA Soluciones Industriales</t>
  </si>
  <si>
    <t>Recycling and Metals SKIPER S.A. De C.V.</t>
  </si>
  <si>
    <t>Black Metal 56 S.A. DE C.V</t>
  </si>
  <si>
    <t>Miguel Landín</t>
  </si>
  <si>
    <t>Interamericana de Materiales</t>
  </si>
  <si>
    <t>Brembo</t>
  </si>
  <si>
    <t>Fagor</t>
  </si>
  <si>
    <t>WF-Trading</t>
  </si>
  <si>
    <t>Prosodio</t>
  </si>
  <si>
    <t>José Luis Bernal</t>
  </si>
  <si>
    <t>Noe Nicasio</t>
  </si>
  <si>
    <t>Comerzializadora Alloys Guzanz</t>
  </si>
  <si>
    <t>PIQ-01</t>
  </si>
  <si>
    <t>PIQ-02</t>
  </si>
  <si>
    <t>PIQ-03</t>
  </si>
  <si>
    <t>PIQ-04</t>
  </si>
  <si>
    <t>PIQ-05</t>
  </si>
  <si>
    <t>PIQ-06</t>
  </si>
  <si>
    <t>PIQ-07</t>
  </si>
  <si>
    <t>PIQ-08</t>
  </si>
  <si>
    <t>PIQ-09</t>
  </si>
  <si>
    <t>PIQ-10</t>
  </si>
  <si>
    <t>PIQ-11</t>
  </si>
  <si>
    <t>PIQ-12</t>
  </si>
  <si>
    <t>PIQ-13</t>
  </si>
  <si>
    <t>PIQ-14</t>
  </si>
  <si>
    <t>PIQ-15</t>
  </si>
  <si>
    <t>PIQ-16</t>
  </si>
  <si>
    <t>PIQ-17</t>
  </si>
  <si>
    <t>PIQ-18</t>
  </si>
  <si>
    <t>PIQ-19</t>
  </si>
  <si>
    <t>PIQ-20</t>
  </si>
  <si>
    <t>PIQ-21</t>
  </si>
  <si>
    <t>PIQ-22</t>
  </si>
  <si>
    <t>PIQ-23</t>
  </si>
  <si>
    <t>PIQ-24</t>
  </si>
  <si>
    <t>PIQ-25</t>
  </si>
  <si>
    <t>PIQ-26</t>
  </si>
  <si>
    <t>PIQ-27</t>
  </si>
  <si>
    <t>PIQ-28</t>
  </si>
  <si>
    <t>PIQ-29</t>
  </si>
  <si>
    <t>PIQ-30</t>
  </si>
  <si>
    <t>PIQ-31</t>
  </si>
  <si>
    <t>PIQ-32</t>
  </si>
  <si>
    <t>PIQ-33</t>
  </si>
  <si>
    <t>PIQ-34</t>
  </si>
  <si>
    <t>PIQ-35</t>
  </si>
  <si>
    <t>PIQ-36</t>
  </si>
  <si>
    <t>PIQ-37</t>
  </si>
  <si>
    <t>PIQ-38</t>
  </si>
  <si>
    <t>PIQ-39</t>
  </si>
  <si>
    <t>PIQ-40</t>
  </si>
  <si>
    <t>PIQ-41</t>
  </si>
  <si>
    <t>PIQ-42</t>
  </si>
  <si>
    <t>PIQ-43</t>
  </si>
  <si>
    <t>PIQ-44</t>
  </si>
  <si>
    <t>PIQ-45</t>
  </si>
  <si>
    <t>PIQ-46</t>
  </si>
  <si>
    <t>PIQ-47</t>
  </si>
  <si>
    <t>PIQ-48</t>
  </si>
  <si>
    <t>PIQ-49</t>
  </si>
  <si>
    <t>PIQ-50</t>
  </si>
  <si>
    <t>PIQ-51</t>
  </si>
  <si>
    <t>PIQ-52</t>
  </si>
  <si>
    <t>PIQ-53</t>
  </si>
  <si>
    <t>PIQ-54</t>
  </si>
  <si>
    <t>PIQ-55</t>
  </si>
  <si>
    <t>PIQ-56</t>
  </si>
  <si>
    <t>PIQ-57</t>
  </si>
  <si>
    <t>PIQ-58</t>
  </si>
  <si>
    <t>PIQ-59</t>
  </si>
  <si>
    <t>PIQ-60</t>
  </si>
  <si>
    <t>PIQ-61</t>
  </si>
  <si>
    <t>PIQ-62</t>
  </si>
  <si>
    <t>PIQ-63</t>
  </si>
  <si>
    <t>PIQ-64</t>
  </si>
  <si>
    <t>PIQ-66</t>
  </si>
  <si>
    <t>PIQ-67</t>
  </si>
  <si>
    <t>PIQ-68</t>
  </si>
  <si>
    <t>IQA</t>
  </si>
  <si>
    <t>IQA/IQB</t>
  </si>
  <si>
    <t>IQB</t>
  </si>
  <si>
    <t>IQB/IQA</t>
  </si>
  <si>
    <t>TIPO DE MP</t>
  </si>
  <si>
    <t>CODIGO</t>
  </si>
  <si>
    <t>REBABA</t>
  </si>
  <si>
    <t>RB</t>
  </si>
  <si>
    <t>ESCORIA</t>
  </si>
  <si>
    <t>ES</t>
  </si>
  <si>
    <t>ESCORIA CALCINADA</t>
  </si>
  <si>
    <t>ESC</t>
  </si>
  <si>
    <t>BRIQUETA</t>
  </si>
  <si>
    <t>BR</t>
  </si>
  <si>
    <t>FLASH</t>
  </si>
  <si>
    <t>FL</t>
  </si>
  <si>
    <t>MACIZO SUCIO</t>
  </si>
  <si>
    <t>MS</t>
  </si>
  <si>
    <t>MACIZO LIMPIO</t>
  </si>
  <si>
    <t>ML</t>
  </si>
  <si>
    <t>BLANDO</t>
  </si>
  <si>
    <t>BL</t>
  </si>
  <si>
    <t xml:space="preserve">RETORNO SUCIO </t>
  </si>
  <si>
    <t>RS</t>
  </si>
  <si>
    <t>RETORNO LIMPIO</t>
  </si>
  <si>
    <t>RL</t>
  </si>
  <si>
    <t>LINGOTE</t>
  </si>
  <si>
    <t>LI</t>
  </si>
  <si>
    <t>GOTA</t>
  </si>
  <si>
    <t>GT</t>
  </si>
  <si>
    <t>RIN</t>
  </si>
  <si>
    <t>RI</t>
  </si>
  <si>
    <t>CABLE</t>
  </si>
  <si>
    <t>CA</t>
  </si>
  <si>
    <t>VENA</t>
  </si>
  <si>
    <t>VE</t>
  </si>
  <si>
    <t>SILICIO</t>
  </si>
  <si>
    <t>SI</t>
  </si>
  <si>
    <t>COBRE</t>
  </si>
  <si>
    <t>CU</t>
  </si>
  <si>
    <t>MAGNESIO</t>
  </si>
  <si>
    <t>MG</t>
  </si>
  <si>
    <t>PERFIL</t>
  </si>
  <si>
    <t>PF</t>
  </si>
  <si>
    <t>ELIMINADOR DE MG</t>
  </si>
  <si>
    <t>EMG</t>
  </si>
  <si>
    <t>ALEACIÓN</t>
  </si>
  <si>
    <t>CODIGO COLOR</t>
  </si>
  <si>
    <t>A380</t>
  </si>
  <si>
    <t>ADC12</t>
  </si>
  <si>
    <t>AZUL</t>
  </si>
  <si>
    <t>A413</t>
  </si>
  <si>
    <t>VERDE</t>
  </si>
  <si>
    <t>A.383</t>
  </si>
  <si>
    <t>NARAJA</t>
  </si>
  <si>
    <t>A.360</t>
  </si>
  <si>
    <t>A.356</t>
  </si>
  <si>
    <t>A.357</t>
  </si>
  <si>
    <t>MARINO</t>
  </si>
  <si>
    <t>Fecha: 23-FEB-24</t>
  </si>
  <si>
    <t xml:space="preserve">Ecosoluciones </t>
  </si>
  <si>
    <t>AMN Logistica, S.A de C.V</t>
  </si>
  <si>
    <t xml:space="preserve">No hay proveedor </t>
  </si>
  <si>
    <t>N/A</t>
  </si>
  <si>
    <t>Dimosa</t>
  </si>
  <si>
    <t>Grupo Magtre</t>
  </si>
  <si>
    <t>Nafta</t>
  </si>
  <si>
    <t>Wilkinson Gary Iron &amp; Metal Inc.</t>
  </si>
  <si>
    <t>PIQ-65</t>
  </si>
  <si>
    <t>PIQ-69</t>
  </si>
  <si>
    <t>PIQ-70</t>
  </si>
  <si>
    <t>PIQ-71</t>
  </si>
  <si>
    <t>PIQ-72</t>
  </si>
  <si>
    <t>Levitated Metals LLC</t>
  </si>
  <si>
    <t xml:space="preserve">Felipe Maquila </t>
  </si>
  <si>
    <t>PIQ-73</t>
  </si>
  <si>
    <t>Castmet</t>
  </si>
  <si>
    <t xml:space="preserve">Cranes Industry </t>
  </si>
  <si>
    <t xml:space="preserve">Recuperadora las vias </t>
  </si>
  <si>
    <t xml:space="preserve">Sherlym </t>
  </si>
  <si>
    <t xml:space="preserve">Kalischatarra </t>
  </si>
  <si>
    <t>PIQ-74</t>
  </si>
  <si>
    <t>PIQ-75</t>
  </si>
  <si>
    <t>PIQ-76</t>
  </si>
  <si>
    <t>PIQ-77</t>
  </si>
  <si>
    <t>PIQ-78</t>
  </si>
  <si>
    <t>PIQ-79</t>
  </si>
  <si>
    <t>PIQ-80</t>
  </si>
  <si>
    <t>PIQ-81</t>
  </si>
  <si>
    <t xml:space="preserve">Hoesch </t>
  </si>
  <si>
    <t xml:space="preserve">Ichiban </t>
  </si>
  <si>
    <t xml:space="preserve">Recycle Mexico Ambiental </t>
  </si>
  <si>
    <t xml:space="preserve">Precozul </t>
  </si>
  <si>
    <t>RSI380</t>
  </si>
  <si>
    <t xml:space="preserve">NARANJA </t>
  </si>
  <si>
    <t xml:space="preserve">BLANCO </t>
  </si>
  <si>
    <t>Negro-verde</t>
  </si>
  <si>
    <t xml:space="preserve">Negro-Amarillo </t>
  </si>
  <si>
    <t xml:space="preserve">Cliente </t>
  </si>
  <si>
    <t xml:space="preserve">TSTM </t>
  </si>
  <si>
    <t xml:space="preserve">NEDEC </t>
  </si>
  <si>
    <t>A.413</t>
  </si>
  <si>
    <t>A.380</t>
  </si>
  <si>
    <t xml:space="preserve">TTM </t>
  </si>
  <si>
    <t>KS</t>
  </si>
  <si>
    <t xml:space="preserve">Codificación de proveedores </t>
  </si>
  <si>
    <t>Asignar el código a cada proveedor para su trazabilidad.</t>
  </si>
  <si>
    <t>Razon Social</t>
  </si>
  <si>
    <t>Empresa compradora</t>
  </si>
  <si>
    <t>RE-CPS-0012</t>
  </si>
  <si>
    <t>ACTIVO</t>
  </si>
  <si>
    <t>INACTIVO</t>
  </si>
  <si>
    <t xml:space="preserve">Siete metales </t>
  </si>
  <si>
    <t>CÓDIGO</t>
  </si>
  <si>
    <t>VERSIÓN</t>
  </si>
  <si>
    <t>FECHA</t>
  </si>
  <si>
    <t>PÁGINA</t>
  </si>
  <si>
    <t>COMPRAS</t>
  </si>
  <si>
    <t>´02</t>
  </si>
  <si>
    <t>PIQ-82</t>
  </si>
  <si>
    <t>PIQ-83</t>
  </si>
  <si>
    <t>PIQ-84</t>
  </si>
  <si>
    <t>PIQ-85</t>
  </si>
  <si>
    <t>PIQ-86</t>
  </si>
  <si>
    <t>PIQ-87</t>
  </si>
  <si>
    <t>German Castro</t>
  </si>
  <si>
    <t xml:space="preserve">Metal Rivex </t>
  </si>
  <si>
    <t>Reciclaje Mora</t>
  </si>
  <si>
    <t>Text Here</t>
  </si>
  <si>
    <t>RE-CPS-12</t>
  </si>
  <si>
    <t>Sandhar Technologies de México</t>
  </si>
  <si>
    <t>Hiho Wheel Mexico</t>
  </si>
  <si>
    <t xml:space="preserve">Marco Daniel Piedra </t>
  </si>
  <si>
    <t xml:space="preserve">Rafael Estrada </t>
  </si>
  <si>
    <t>PIQ-88</t>
  </si>
  <si>
    <t>PIQ-89</t>
  </si>
  <si>
    <t>PIQ-90</t>
  </si>
  <si>
    <t>PIQ-91</t>
  </si>
  <si>
    <t>1 DE 1</t>
  </si>
  <si>
    <t>Codigo de colores</t>
  </si>
  <si>
    <t>Codificación de MP</t>
  </si>
  <si>
    <t>ÍTEM</t>
  </si>
  <si>
    <t xml:space="preserve">FIERRO </t>
  </si>
  <si>
    <t>FE</t>
  </si>
  <si>
    <t>REMAP</t>
  </si>
  <si>
    <t xml:space="preserve">Contacto </t>
  </si>
  <si>
    <t xml:space="preserve">Dirección </t>
  </si>
  <si>
    <t>Ing. Daniel González</t>
  </si>
  <si>
    <t>Av. de las fuentes No. 92, Bodega 4, Parque Ind. Bernardo Quintana, El Marques, Querétaro. C.P. 76246</t>
  </si>
  <si>
    <t>Telefono Cel</t>
  </si>
  <si>
    <t>556-617-9060</t>
  </si>
  <si>
    <t>email</t>
  </si>
  <si>
    <t>compras1@remeta.com.mx</t>
  </si>
  <si>
    <t xml:space="preserve">Rebaba </t>
  </si>
  <si>
    <t>RI 47100</t>
  </si>
  <si>
    <t>Macizo limpio</t>
  </si>
  <si>
    <t>RI (Tubo Sobredimensionado)</t>
  </si>
  <si>
    <t>Rebaba</t>
  </si>
  <si>
    <t>Retorno Industrial</t>
  </si>
  <si>
    <t>Alejandro Carranza</t>
  </si>
  <si>
    <t>Calle Temazcalli Mz. 102 No. 17 Col. Cuitlahuac Salitre, CP. 76230 
Querétaro, Qro.</t>
  </si>
  <si>
    <t>Aleación</t>
  </si>
  <si>
    <t>Adriana Rocha</t>
  </si>
  <si>
    <t>adriana.rocha@faistlightmetals.com</t>
  </si>
  <si>
    <t>36275 Silao de la Victoria, Gto.</t>
  </si>
  <si>
    <t>Escoria</t>
  </si>
  <si>
    <t>Piedra</t>
  </si>
  <si>
    <t>Macizo sucio</t>
  </si>
  <si>
    <t>Flash</t>
  </si>
  <si>
    <t>emunoz@kaizenmexicana.com</t>
  </si>
  <si>
    <t>449-97353-10  ext. 123</t>
  </si>
  <si>
    <t>Av. Guadalupe No. 601-A Col.Maravillas Jesús María, Ags. C.P.20900</t>
  </si>
  <si>
    <t>Lic. Érika Muñóz</t>
  </si>
  <si>
    <t>Lic. Silvia Peñaloza</t>
  </si>
  <si>
    <t>Carr. A Maravillas - Paso Blanco
Jesús María, Aguascalientes.</t>
  </si>
  <si>
    <t>chuminap5@hotmail.com</t>
  </si>
  <si>
    <t>Briqueta</t>
  </si>
  <si>
    <t>AlSi10</t>
  </si>
  <si>
    <t>ADC12/413</t>
  </si>
  <si>
    <t>ocatone@gmail.com</t>
  </si>
  <si>
    <t xml:space="preserve"> Cerro de las campanas 3 No. 13 Int. No. Oficina 4  Col. San Andrés Atenco C.P.: 54040. Tlalnepantla de Baz, Estado de México </t>
  </si>
  <si>
    <t xml:space="preserve">Escoria </t>
  </si>
  <si>
    <t>Omar Catone</t>
  </si>
  <si>
    <t>priscila.lira@cimetal.com.mx</t>
  </si>
  <si>
    <t>Macizo</t>
  </si>
  <si>
    <t xml:space="preserve"> AV. Aguascalientes No. 619 Int. No. local 9 Teléfono: Colonia: Pulgas Pandas Country Club Sur
C.P.: 20138
Aguascalientes.</t>
  </si>
  <si>
    <t>449-272-0482</t>
  </si>
  <si>
    <t>Lic. Priscila Romo</t>
  </si>
  <si>
    <t>Lingote</t>
  </si>
  <si>
    <t>RSI</t>
  </si>
  <si>
    <t>Las Aguilas No. 198. Irapuato, Gto.</t>
  </si>
  <si>
    <t>recuperadoraddr@yahoo.com</t>
  </si>
  <si>
    <t>462-152-5920</t>
  </si>
  <si>
    <t>Ing. Fernando Cortez</t>
  </si>
  <si>
    <t>Av. Antonio Gutierrez Cortina No. 18.   San José Iturbide, Gto. CP. 37980</t>
  </si>
  <si>
    <t>442-230-1990</t>
  </si>
  <si>
    <t>Lic. Elvia Ramirez</t>
  </si>
  <si>
    <t>elvia.ramirez@nedec.com'</t>
  </si>
  <si>
    <t>Lic. Cristina Romo</t>
  </si>
  <si>
    <t>Calzada Del Valle 255 2-A Del Valle
San Pedro Garza Garcia, NUEVO LEON, C.P. 66220</t>
  </si>
  <si>
    <t>818-162-2579</t>
  </si>
  <si>
    <t>Rebaba contaminada</t>
  </si>
  <si>
    <t>cromo@omnisource.com</t>
  </si>
  <si>
    <t>Ing. Luis Diaz.</t>
  </si>
  <si>
    <t>477-268-7920</t>
  </si>
  <si>
    <t>luis.diaz@vulcahierro.com</t>
  </si>
  <si>
    <t xml:space="preserve">ETA No. 312
Colonia: Industrial Delta C.P.: 37545 León, Guanajuato </t>
  </si>
  <si>
    <t>Artesanos #109. Col. Pesquería. Pesquería, Nuevo León. CP: 66650</t>
  </si>
  <si>
    <t>Mónica Chávez</t>
  </si>
  <si>
    <t>553-935-5300</t>
  </si>
  <si>
    <t>Rin</t>
  </si>
  <si>
    <t>Macizo triturado</t>
  </si>
  <si>
    <t>mchavez@wfts.mx</t>
  </si>
  <si>
    <t>José Alejandro Pérez Correa</t>
  </si>
  <si>
    <t>449-225-2638</t>
  </si>
  <si>
    <t>Blando</t>
  </si>
  <si>
    <t>Calle: Aglaya #201, Col. Las Hadas. Aguascalientes, Aguascalientes. CP. 20140</t>
  </si>
  <si>
    <t>380 RSI</t>
  </si>
  <si>
    <t>prometal_lb@hotmail.com</t>
  </si>
  <si>
    <t>Calle : Villa Diamante #118, col. San José el Alto. Querétaro. CP. 76147</t>
  </si>
  <si>
    <t>Recicladora Camila S DE RL DE CV</t>
  </si>
  <si>
    <t>Luis Beltrán</t>
  </si>
  <si>
    <t>442-341-6708</t>
  </si>
  <si>
    <t>recuperadoradelvalle@gmail.com</t>
  </si>
  <si>
    <t xml:space="preserve">Calle: Mariano Talavera #218, col. Los Manantiales. Purísima del Rincón. CP. 36403 </t>
  </si>
  <si>
    <t>477-399-4252</t>
  </si>
  <si>
    <t>MARCO ALEJANDRO HERNANDEZ MARQUEZ</t>
  </si>
  <si>
    <t>compras_69@outlook.es</t>
  </si>
  <si>
    <t>Blvrd Miguel Hidalgo # 6818, Los Castillos, 37500 León de los Aldama, Gto.</t>
  </si>
  <si>
    <t>477 750 8363</t>
  </si>
  <si>
    <t>Daniel González</t>
  </si>
  <si>
    <t xml:space="preserve">Viridiana Romero </t>
  </si>
  <si>
    <t>Razón social</t>
  </si>
  <si>
    <t xml:space="preserve">Pablo Lopez </t>
  </si>
  <si>
    <t>comer-alloysgusanz@hotmail.com</t>
  </si>
  <si>
    <t>332-837-6595</t>
  </si>
  <si>
    <t>Lic. Rosy</t>
  </si>
  <si>
    <t xml:space="preserve">Gerardo Calvo </t>
  </si>
  <si>
    <t>477-127-16-89</t>
  </si>
  <si>
    <t>351-107-46-76</t>
  </si>
  <si>
    <t>442-190-41-68</t>
  </si>
  <si>
    <t>Distribuidora de motores y maquinariade Occidente SA de CV / Dimosa</t>
  </si>
  <si>
    <t>metalesdimosa@gmail.com; dimosaejecutivo@hotmail.com</t>
  </si>
  <si>
    <t>Aldous Huxley #5028, Col. Jardines Universidad. Zapopan, Jalisco. CP. 45110</t>
  </si>
  <si>
    <t>331-500-8283</t>
  </si>
  <si>
    <t>Anibal Cmacho</t>
  </si>
  <si>
    <t>Héctor Treviño</t>
  </si>
  <si>
    <t>984-179-3710</t>
  </si>
  <si>
    <t>hectortr@magtre.mx; silvia.beltran@magtre.mx</t>
  </si>
  <si>
    <t>Privada Capellania #405, col. Residencial Santa Bárbara, San Pedro Garza García, NL. CP. 66226</t>
  </si>
  <si>
    <t>Escoria Mino</t>
  </si>
  <si>
    <t>Rebaba Mino</t>
  </si>
  <si>
    <t>Flash Mino</t>
  </si>
  <si>
    <t>Retorno industrial</t>
  </si>
  <si>
    <t>AlSi12Cu1 Fe</t>
  </si>
  <si>
    <t>nuria@ecosolucionesbajio.com</t>
  </si>
  <si>
    <t>Blvd Villa de San Juán #86, col. Villa Olímpica. León Gto. CP. 37295</t>
  </si>
  <si>
    <t>477-417-1497</t>
  </si>
  <si>
    <t>Nuria Belmonte</t>
  </si>
  <si>
    <t>CLAUDIA A. CARDENAS</t>
  </si>
  <si>
    <t>(844) 430 89 40 y 41</t>
  </si>
  <si>
    <t>Suministro</t>
  </si>
  <si>
    <t>Fundente Amflux 32</t>
  </si>
  <si>
    <t>Fundente IPI AF 50</t>
  </si>
  <si>
    <t>TERMOPAR-K 1/8"D X 59"L MANGUILLO 12" EXT.</t>
  </si>
  <si>
    <t>ALUFREE - GRASA REFRACTARIA</t>
  </si>
  <si>
    <t>FUNDENTE MR4500 ELIMINADOR DE MAGNESIO</t>
  </si>
  <si>
    <t>PIROMETRO DUAL K/J</t>
  </si>
  <si>
    <t>TERMOPAR TIPO "K" RECTO</t>
  </si>
  <si>
    <t>CONO CERAMICO 7 1/2" L</t>
  </si>
  <si>
    <t>FIBRA CERAMICA 1/2" X 24" X 300" 8 LB</t>
  </si>
  <si>
    <t>FIBRA CERAMICA 1" X 24" X 300" 8 LB</t>
  </si>
  <si>
    <t>FIBRA CERAMICA 2" X 24" X 150´ 8 LB</t>
  </si>
  <si>
    <t>claudia@ipi.mx</t>
  </si>
  <si>
    <t>Tercera No. 865  Col. Nazario Ortiz Garza
Saltillo, Coahuila – Mexico  25100</t>
  </si>
  <si>
    <t>hectorhugovigil@asoalloy.com.mx</t>
  </si>
  <si>
    <t>Silicio Métalico 553</t>
  </si>
  <si>
    <t>(444) 8298802</t>
  </si>
  <si>
    <t>HECTOR VIGIL</t>
  </si>
  <si>
    <t>Silicio Métalico</t>
  </si>
  <si>
    <t>Plomeros 170, Parque Industrial Impulso Zona Industrial, San Luis Potosí. México</t>
  </si>
  <si>
    <t>Eliminador de Magnesio</t>
  </si>
  <si>
    <t>altec.quimicos59@gmail.com</t>
  </si>
  <si>
    <t>Ex Hacienda San Felipe Tercera Cerrada del Boques de Contreras M29, Lt 3 5B, Coacalco de Berriozabal, Edo. De México, C.P. 55717</t>
  </si>
  <si>
    <t xml:space="preserve">HECTOR DE LA FUENTE </t>
  </si>
  <si>
    <t>VERONICA PEREZ</t>
  </si>
  <si>
    <t>vperez@possehl.com.mx</t>
  </si>
  <si>
    <t>Ex Hacienda San Miguel, Carretera Tepotzotlan, La Aurora Km. 1, Nave 4, Cuatitlan Izcalli, Edo. De México C.P. 54715</t>
  </si>
  <si>
    <t>Fluoruro de Potasio (Eliminadro de Mg)</t>
  </si>
  <si>
    <t>JENNIFER ARIAS</t>
  </si>
  <si>
    <t xml:space="preserve">José Palomo Martinez 520 15 A, Parque Industrial Omolap C.P. 66633, Apodaca, Ciudad Apodaca, Nuevo Leon </t>
  </si>
  <si>
    <t>Silicio Metálico 553</t>
  </si>
  <si>
    <t>Magnesio Puro</t>
  </si>
  <si>
    <t>ALEJANDRA RODRIGUEZ</t>
  </si>
  <si>
    <t>Heraclito No. 307, Colonia Polanco V Sección 11560. Ciudad de México</t>
  </si>
  <si>
    <t>4 91-712-109-116</t>
  </si>
  <si>
    <t>Silicio</t>
  </si>
  <si>
    <t>Desmagnetizante</t>
  </si>
  <si>
    <t>Fundente para limpieza</t>
  </si>
  <si>
    <t>a.rodriguez@hoesch-metallurgie.com</t>
  </si>
  <si>
    <t>81-179-977-67</t>
  </si>
  <si>
    <t>Fundente de Cobertura</t>
  </si>
  <si>
    <t>fundente de Cobertura</t>
  </si>
  <si>
    <t>lmarcos@rushsalt.com</t>
  </si>
  <si>
    <t>Rio Guadalquivir 323, Del Valle, 66220, San Pedro Garza García, Entre Rio Rosas y Calle Río Moctezuma, San Pedro Garza García, Nuevo Leon, México.</t>
  </si>
  <si>
    <t>LUIS MARCOS</t>
  </si>
  <si>
    <t xml:space="preserve">Flash </t>
  </si>
  <si>
    <t>Avenida Paseo de las Colinas 3 36113, Parque Industrial Las Colinas, 37668 León de los Aldama, Gto.</t>
  </si>
  <si>
    <t>Rababa</t>
  </si>
  <si>
    <t>Pablo Lopez</t>
  </si>
  <si>
    <t>Maquila</t>
  </si>
  <si>
    <t>52 1 447 107 9633</t>
  </si>
  <si>
    <t xml:space="preserve">No contiene </t>
  </si>
  <si>
    <t xml:space="preserve">Los Remedios Municipio. Tlalpujahua,Michoacan </t>
  </si>
  <si>
    <t xml:space="preserve">Macizo sucio </t>
  </si>
  <si>
    <t xml:space="preserve">Macizo Sucio </t>
  </si>
  <si>
    <t xml:space="preserve">Daniel Chowell </t>
  </si>
  <si>
    <t xml:space="preserve">Lingote </t>
  </si>
  <si>
    <t xml:space="preserve">Retorno Limpio </t>
  </si>
  <si>
    <t>No contiene</t>
  </si>
  <si>
    <t>40 Cándido Navarro, Silao, Guanajuato</t>
  </si>
  <si>
    <t>52 1 55 4933 4819</t>
  </si>
  <si>
    <t>Adan Arrollo</t>
  </si>
  <si>
    <t>Recicladora Santa Isabel</t>
  </si>
  <si>
    <t xml:space="preserve">Arturo Guevara </t>
  </si>
  <si>
    <t xml:space="preserve">Martin Diaz </t>
  </si>
  <si>
    <t>52 1 447 203 8547</t>
  </si>
  <si>
    <t>No Contiene</t>
  </si>
  <si>
    <t xml:space="preserve">Santa Maria de los Angeles, Tlalpujahua,Michoacán C.P 61063       </t>
  </si>
  <si>
    <t>Rómulo Garza 215, Francisco I. Madero, Parque Industrial, 66556 Carmen, N.L.</t>
  </si>
  <si>
    <t xml:space="preserve">Blando </t>
  </si>
  <si>
    <t>Cobre</t>
  </si>
  <si>
    <t>Blvd. Pespuntadores 312, Ciudad Industrial, 37564 León de los Aldama, Gto.</t>
  </si>
  <si>
    <t xml:space="preserve">Noe Nicasio </t>
  </si>
  <si>
    <t>Molde</t>
  </si>
  <si>
    <t>380 alt Zn</t>
  </si>
  <si>
    <t>Felipe Valdes</t>
  </si>
  <si>
    <t>52 1 447 151 9865</t>
  </si>
  <si>
    <t>Lingote (Maquila)</t>
  </si>
  <si>
    <t>Tlalpujahua,Michoacán</t>
  </si>
  <si>
    <t>Raúl Cruz Cruz</t>
  </si>
  <si>
    <t>442-445-15-47</t>
  </si>
  <si>
    <t>Score 8</t>
  </si>
  <si>
    <t xml:space="preserve">Rock Flux </t>
  </si>
  <si>
    <t xml:space="preserve">Pintura refractaria </t>
  </si>
  <si>
    <t>De Los Ailes 194, Jardines de San Mateo, 53240 Naucalpan de Juárez, Méx.</t>
  </si>
  <si>
    <t>vtastec@castmet.com.mx</t>
  </si>
  <si>
    <t xml:space="preserve">Armando Soto </t>
  </si>
  <si>
    <t>52 1 477 431 1765</t>
  </si>
  <si>
    <t xml:space="preserve">Triturado </t>
  </si>
  <si>
    <t>Juárez 3004B, Rio Escondido, 37450 León de los Aldama, Gto.</t>
  </si>
  <si>
    <t>49 171 2109116</t>
  </si>
  <si>
    <t xml:space="preserve">Silicio </t>
  </si>
  <si>
    <t>52 1 477 113 2327</t>
  </si>
  <si>
    <t>Martin Rodriguez</t>
  </si>
  <si>
    <t>52 1 477 232 3400</t>
  </si>
  <si>
    <t>Tamboreros 103- A, La Piscina, Industrial Santa Crocce, 37439 León de los Aldama, Gto.</t>
  </si>
  <si>
    <t xml:space="preserve">Procesados Precozul </t>
  </si>
  <si>
    <t xml:space="preserve">German Castro </t>
  </si>
  <si>
    <t>José Sandoval Carreño</t>
  </si>
  <si>
    <t>52 1 771 404 0788</t>
  </si>
  <si>
    <t>52 1 477 129 8666</t>
  </si>
  <si>
    <t>Servicio trituración</t>
  </si>
  <si>
    <t>Torrejon de Ardoz # 647, Col. San Carlos, 37670 León de los Aldama, Gto.</t>
  </si>
  <si>
    <t>Martha Alicia López</t>
  </si>
  <si>
    <t>52 1 477 324 3354</t>
  </si>
  <si>
    <t>administracion@metalrivex.com</t>
  </si>
  <si>
    <t>Cecilia Mora</t>
  </si>
  <si>
    <t>52 1 477 729 3172</t>
  </si>
  <si>
    <t>2300 Scott St, Laredo, TX 78040, Estados Unidos</t>
  </si>
  <si>
    <t>alejandra.plata@sandhar.mx</t>
  </si>
  <si>
    <t xml:space="preserve">Alejandra Plata </t>
  </si>
  <si>
    <t>Av. Torre centro insurgentes No. 3, Parque industrial Opcion, C.P, 37980 Guanajuato</t>
  </si>
  <si>
    <t>Av. Herminia Castro Cruz No. 100, 38194 San José Agua Azul, Gto.</t>
  </si>
  <si>
    <t xml:space="preserve">Antonio Vazquez </t>
  </si>
  <si>
    <t>52 1 461 619 2030</t>
  </si>
  <si>
    <t xml:space="preserve">Rebaba DC chip </t>
  </si>
  <si>
    <t xml:space="preserve">Rebaba chip </t>
  </si>
  <si>
    <t>Escoria (Dross)</t>
  </si>
  <si>
    <t>antonio.vazquez@hihomexico.com.mx</t>
  </si>
  <si>
    <t xml:space="preserve">Marco Daniel Perez </t>
  </si>
  <si>
    <t>52 1 55 2276 3383</t>
  </si>
  <si>
    <t xml:space="preserve">NO contiene </t>
  </si>
  <si>
    <t>52 1 33 1494 7345</t>
  </si>
  <si>
    <t>Eli Rojas</t>
  </si>
  <si>
    <t>Certificación</t>
  </si>
  <si>
    <t>NO</t>
  </si>
  <si>
    <t xml:space="preserve">SI </t>
  </si>
  <si>
    <t>¿?</t>
  </si>
  <si>
    <t xml:space="preserve">NO </t>
  </si>
  <si>
    <t xml:space="preserve">Gilberto Cordova </t>
  </si>
  <si>
    <t>477-562-0618</t>
  </si>
  <si>
    <t xml:space="preserve">Retornos </t>
  </si>
  <si>
    <t xml:space="preserve">Macizos </t>
  </si>
  <si>
    <t xml:space="preserve">Blandos </t>
  </si>
  <si>
    <t>Manifiestos</t>
  </si>
  <si>
    <t>PIQ-92</t>
  </si>
  <si>
    <t>PIQ-93</t>
  </si>
  <si>
    <t>PIQ-94</t>
  </si>
  <si>
    <t>PIQ-95</t>
  </si>
  <si>
    <t>PIQ-96</t>
  </si>
  <si>
    <t>PIQ-97</t>
  </si>
  <si>
    <t>PIQ-98</t>
  </si>
  <si>
    <t>PIQ-99</t>
  </si>
  <si>
    <t>RECIMETSA</t>
  </si>
  <si>
    <t xml:space="preserve">Diego Mendoza </t>
  </si>
  <si>
    <t>Capacidad Instalada</t>
  </si>
  <si>
    <t>444 491 00 06</t>
  </si>
  <si>
    <t>477 580 66 38</t>
  </si>
  <si>
    <t>442-613-55-08</t>
  </si>
  <si>
    <t>Macizo Sucio</t>
  </si>
  <si>
    <t xml:space="preserve">Retorno limpio </t>
  </si>
  <si>
    <t>Corporativo Vulcahierro, S.A.P.I de C.V</t>
  </si>
  <si>
    <t xml:space="preserve">IQB </t>
  </si>
  <si>
    <t xml:space="preserve">Alejandro Barba </t>
  </si>
  <si>
    <t>956 572 62 99</t>
  </si>
  <si>
    <t>Rebaba / Briquetas / Escorias</t>
  </si>
  <si>
    <t>Alfonso Zurita
Zusan Zurita</t>
  </si>
  <si>
    <t>442 411 07 09</t>
  </si>
  <si>
    <t>Escoria / Retorno limpio</t>
  </si>
  <si>
    <t xml:space="preserve">Mario Romo </t>
  </si>
  <si>
    <t>380-</t>
  </si>
  <si>
    <t>Linea</t>
  </si>
  <si>
    <t>ALEANTES</t>
  </si>
  <si>
    <t>Colcha ceramica
Conos ceramicos 
Stell Pack
Quick Cast</t>
  </si>
  <si>
    <t>380
356</t>
  </si>
  <si>
    <t xml:space="preserve">Oswaldo Sandoval </t>
  </si>
  <si>
    <t>52 81 1862 8945</t>
  </si>
  <si>
    <t>av. Real #452, Zona Industrial parque logistico WTC</t>
  </si>
  <si>
    <t>daguilera@recimetsa.com.mx</t>
  </si>
  <si>
    <t xml:space="preserve">Dieter Roman  Aguilera Cabrera </t>
  </si>
  <si>
    <t>REMAP.ZAC@GMAIL.COM</t>
  </si>
  <si>
    <t>CALLE INDUSTRIA 4 C.P 98604 Guadalupe Zac.</t>
  </si>
  <si>
    <t>52 671 102 27 14</t>
  </si>
  <si>
    <t>jomifrasadecv@gmail.com</t>
  </si>
  <si>
    <t>ISO 9001:2015 DS-OCSGC030-24</t>
  </si>
  <si>
    <t>Terra Business Park II Primera cerrada Circuito universidades 35 Bodega C1-21 Col. Ejido el Pozo, 76269 Santiago de Querétaro, Qro.</t>
  </si>
  <si>
    <t>zusan9026@gmail.com</t>
  </si>
  <si>
    <t>Calzada México - Xochimilco 4850 - E202, CP 14389, Tlalpan, CDMX</t>
  </si>
  <si>
    <t>nonferrousmetaltrading@gmail.com</t>
  </si>
  <si>
    <t xml:space="preserve">isacgranadosgtz@gmail.com 			</t>
  </si>
  <si>
    <t>NON FERROUS METAL TRADING SA DE CV</t>
  </si>
  <si>
    <t>contacto.recycle.mexico@gmail.com</t>
  </si>
  <si>
    <t>jsauceda@wilkinsoniron.com</t>
  </si>
  <si>
    <t>AGS 53 250, 20900 Maravillas, Ags.</t>
  </si>
  <si>
    <t xml:space="preserve">Briqueta </t>
  </si>
  <si>
    <t>Cliente</t>
  </si>
  <si>
    <t>Francisco Romero</t>
  </si>
  <si>
    <t>ISO/TS 16949-IATF 16949
ISO 14001</t>
  </si>
  <si>
    <t>20 Ton</t>
  </si>
  <si>
    <t xml:space="preserve">Diego Maya Mendoza </t>
  </si>
  <si>
    <t>dmm900203@icloud.com</t>
  </si>
  <si>
    <t>CDA CABERNET 1640 57, COL VIÑEDOS C.P 76235, QUERETARO, QRO.</t>
  </si>
  <si>
    <t xml:space="preserve">En proceso </t>
  </si>
  <si>
    <t xml:space="preserve">Eugenio Pío </t>
  </si>
  <si>
    <t>ISO/TS 16949-IATF 16949
BS OHSAS 18001
ISO 14001</t>
  </si>
  <si>
    <t>TS16949
ISO 9001.</t>
  </si>
  <si>
    <t>419 131 12 36</t>
  </si>
  <si>
    <t>Cocoyoc 128, Tierra y Libertad, C.P 38000 Celaya, Guanajuato</t>
  </si>
  <si>
    <t>Capacidad cubierta</t>
  </si>
  <si>
    <t xml:space="preserve">ISO 9001:2015 </t>
  </si>
  <si>
    <t>HOESCH MEXICO</t>
  </si>
  <si>
    <t>RIO RHIN No. 22 INT. 704
Col. Cuauhtemoc
06500 Ciudad de Mexico</t>
  </si>
  <si>
    <t>ISO 9001:2015-IATF 16949
ISO 14001</t>
  </si>
  <si>
    <t>Servicio</t>
  </si>
  <si>
    <t>Clasificación proveedores</t>
  </si>
  <si>
    <t>a</t>
  </si>
  <si>
    <t>b</t>
  </si>
  <si>
    <t>c</t>
  </si>
  <si>
    <t xml:space="preserve">Jomifra </t>
  </si>
  <si>
    <t>´+52 1 55 1623 9717</t>
  </si>
  <si>
    <t>10 Ton</t>
  </si>
  <si>
    <t>Javier Leyva</t>
  </si>
  <si>
    <t xml:space="preserve">Javier Leyva </t>
  </si>
  <si>
    <t xml:space="preserve">Fluxal </t>
  </si>
  <si>
    <t>´+52 1 56 1127 6319</t>
  </si>
  <si>
    <t>2 Ton</t>
  </si>
  <si>
    <t>LISTA DE PROVEEDORES</t>
  </si>
  <si>
    <t>15/Ago/2019</t>
  </si>
  <si>
    <t>1 de 2</t>
  </si>
  <si>
    <t>´01</t>
  </si>
  <si>
    <t>VERSIÓN: 00</t>
  </si>
  <si>
    <t xml:space="preserve">Reyes Nuñez Luna </t>
  </si>
  <si>
    <t xml:space="preserve">Daniel Becerril </t>
  </si>
  <si>
    <t xml:space="preserve">Recimax </t>
  </si>
  <si>
    <t>Criticos</t>
  </si>
  <si>
    <t>NOTA:</t>
  </si>
  <si>
    <t>SE MARCAN INACTIVOS LOS PROVEEDORES QUE TIENEN DOS MESES SIN ACTIVIDAD DE SUMINISTRO</t>
  </si>
  <si>
    <t>Blanca Estela Guiterrez Lopez</t>
  </si>
  <si>
    <t xml:space="preserve"> </t>
  </si>
  <si>
    <t>Puntuación Evaluación</t>
  </si>
  <si>
    <t>PIQ-100</t>
  </si>
  <si>
    <t>PIQ-101</t>
  </si>
  <si>
    <t>PIQ-102</t>
  </si>
  <si>
    <t>PIQ-103</t>
  </si>
  <si>
    <t xml:space="preserve">Ferromex </t>
  </si>
  <si>
    <t>Jovian</t>
  </si>
  <si>
    <t>Alejandro Cruz</t>
  </si>
  <si>
    <t>477 109 56 80</t>
  </si>
  <si>
    <t>718 104 3548</t>
  </si>
  <si>
    <t xml:space="preserve">Le Bélier </t>
  </si>
  <si>
    <t>Grupo Recicle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</si>
</sst>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 &quot;Ton&quot;"/>
  </numFmts>
  <fonts count="2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0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theme="0"/>
      <name val="Arial"/>
      <family val="2"/>
    </font>
    <font>
      <sz val="11"/>
      <color theme="1"/>
      <name val="-webkit-standard"/>
    </font>
    <font>
      <sz val="12"/>
      <color rgb="FF007279"/>
      <name val="Arial"/>
      <family val="2"/>
    </font>
    <font>
      <sz val="12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E0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9" fontId="25" fillId="0" borderId="0" applyFont="0" applyFill="0" applyBorder="0" applyAlignment="0" applyProtection="0"/>
  </cellStyleXfs>
  <cellXfs count="472">
    <xf numFmtId="0" fontId="0" fillId="0" borderId="0" xfId="0"/>
    <xf numFmtId="0" fontId="3" fillId="2" borderId="1" xfId="0" applyFont="1" applyFill="1" applyBorder="1" applyAlignment="1" applyProtection="1">
      <alignment horizontal="center" wrapText="1"/>
      <protection locked="0"/>
    </xf>
    <xf numFmtId="0" fontId="3" fillId="2" borderId="2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1" xfId="0" applyBorder="1"/>
    <xf numFmtId="0" fontId="0" fillId="0" borderId="7" xfId="0" applyBorder="1"/>
    <xf numFmtId="0" fontId="1" fillId="0" borderId="0" xfId="0" applyFont="1" applyAlignment="1">
      <alignment horizontal="center" vertical="center"/>
    </xf>
    <xf numFmtId="0" fontId="9" fillId="4" borderId="8" xfId="0" applyFont="1" applyFill="1" applyBorder="1" applyAlignment="1">
      <alignment horizontal="center"/>
    </xf>
    <xf numFmtId="0" fontId="9" fillId="4" borderId="9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3" fillId="2" borderId="12" xfId="0" applyFont="1" applyFill="1" applyBorder="1" applyAlignment="1" applyProtection="1">
      <alignment horizontal="center" vertical="center"/>
      <protection locked="0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3" xfId="0" applyFont="1" applyBorder="1"/>
    <xf numFmtId="0" fontId="6" fillId="5" borderId="3" xfId="0" applyFont="1" applyFill="1" applyBorder="1"/>
    <xf numFmtId="0" fontId="6" fillId="5" borderId="3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0" borderId="27" xfId="0" applyBorder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28" xfId="0" applyBorder="1"/>
    <xf numFmtId="0" fontId="13" fillId="0" borderId="3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15" fontId="14" fillId="0" borderId="3" xfId="0" applyNumberFormat="1" applyFont="1" applyBorder="1" applyAlignment="1" applyProtection="1">
      <alignment horizontal="center" vertical="center"/>
      <protection locked="0"/>
    </xf>
    <xf numFmtId="0" fontId="8" fillId="11" borderId="3" xfId="0" applyFont="1" applyFill="1" applyBorder="1" applyAlignment="1" applyProtection="1">
      <alignment horizontal="center" vertical="center" wrapText="1"/>
      <protection locked="0"/>
    </xf>
    <xf numFmtId="0" fontId="13" fillId="0" borderId="26" xfId="0" applyFont="1" applyBorder="1" applyAlignment="1" applyProtection="1">
      <alignment horizontal="center" vertical="center"/>
      <protection locked="0"/>
    </xf>
    <xf numFmtId="0" fontId="14" fillId="0" borderId="27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15" fontId="14" fillId="0" borderId="11" xfId="0" applyNumberFormat="1" applyFont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>
      <alignment horizontal="center"/>
    </xf>
    <xf numFmtId="0" fontId="2" fillId="4" borderId="11" xfId="0" applyFont="1" applyFill="1" applyBorder="1"/>
    <xf numFmtId="0" fontId="0" fillId="0" borderId="2" xfId="0" applyBorder="1"/>
    <xf numFmtId="0" fontId="0" fillId="0" borderId="18" xfId="0" applyBorder="1"/>
    <xf numFmtId="0" fontId="0" fillId="0" borderId="6" xfId="0" applyBorder="1"/>
    <xf numFmtId="0" fontId="0" fillId="0" borderId="14" xfId="0" applyBorder="1"/>
    <xf numFmtId="0" fontId="0" fillId="0" borderId="25" xfId="0" applyBorder="1"/>
    <xf numFmtId="0" fontId="0" fillId="0" borderId="32" xfId="0" applyBorder="1"/>
    <xf numFmtId="0" fontId="14" fillId="0" borderId="0" xfId="0" applyFont="1" applyAlignment="1" applyProtection="1">
      <alignment horizontal="center" vertical="center"/>
      <protection locked="0"/>
    </xf>
    <xf numFmtId="15" fontId="14" fillId="0" borderId="0" xfId="0" applyNumberFormat="1" applyFont="1" applyAlignment="1" applyProtection="1">
      <alignment horizontal="center" vertical="center"/>
      <protection locked="0"/>
    </xf>
    <xf numFmtId="0" fontId="9" fillId="4" borderId="9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16" fillId="0" borderId="34" xfId="1" applyBorder="1" applyAlignment="1">
      <alignment horizontal="center" vertical="center" wrapText="1"/>
    </xf>
    <xf numFmtId="0" fontId="0" fillId="0" borderId="20" xfId="0" applyBorder="1"/>
    <xf numFmtId="0" fontId="0" fillId="0" borderId="26" xfId="0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18" fillId="0" borderId="26" xfId="1" applyFont="1" applyFill="1" applyBorder="1" applyAlignment="1">
      <alignment horizontal="center" vertical="center"/>
    </xf>
    <xf numFmtId="0" fontId="18" fillId="0" borderId="3" xfId="1" applyFont="1" applyFill="1" applyBorder="1" applyAlignment="1">
      <alignment horizontal="center" vertical="center"/>
    </xf>
    <xf numFmtId="0" fontId="18" fillId="0" borderId="5" xfId="1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/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19" fillId="0" borderId="26" xfId="1" applyFont="1" applyFill="1" applyBorder="1" applyAlignment="1">
      <alignment horizontal="center" vertical="center"/>
    </xf>
    <xf numFmtId="0" fontId="19" fillId="0" borderId="3" xfId="1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/>
    <xf numFmtId="0" fontId="0" fillId="0" borderId="17" xfId="0" applyBorder="1"/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" fillId="0" borderId="34" xfId="1" applyBorder="1" applyAlignment="1">
      <alignment horizontal="center" vertical="center"/>
    </xf>
    <xf numFmtId="0" fontId="6" fillId="0" borderId="35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0" fillId="0" borderId="30" xfId="0" applyBorder="1"/>
    <xf numFmtId="0" fontId="0" fillId="0" borderId="34" xfId="0" applyBorder="1"/>
    <xf numFmtId="0" fontId="6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6" fillId="0" borderId="44" xfId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9" fillId="0" borderId="20" xfId="1" applyFont="1" applyFill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37" xfId="1" quotePrefix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26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47" xfId="0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0" fontId="0" fillId="0" borderId="48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0" xfId="0" applyAlignment="1">
      <alignment vertical="center"/>
    </xf>
    <xf numFmtId="0" fontId="18" fillId="0" borderId="2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16" fillId="0" borderId="41" xfId="1" applyBorder="1" applyAlignment="1">
      <alignment horizontal="center" vertical="center"/>
    </xf>
    <xf numFmtId="0" fontId="0" fillId="0" borderId="42" xfId="0" applyBorder="1" applyAlignment="1">
      <alignment vertical="center" wrapText="1"/>
    </xf>
    <xf numFmtId="0" fontId="0" fillId="0" borderId="45" xfId="0" applyBorder="1"/>
    <xf numFmtId="0" fontId="0" fillId="0" borderId="44" xfId="0" applyBorder="1"/>
    <xf numFmtId="0" fontId="0" fillId="0" borderId="46" xfId="0" applyBorder="1"/>
    <xf numFmtId="0" fontId="15" fillId="0" borderId="9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9" fillId="4" borderId="30" xfId="0" applyFont="1" applyFill="1" applyBorder="1" applyAlignment="1">
      <alignment horizontal="center" vertical="center" wrapText="1"/>
    </xf>
    <xf numFmtId="0" fontId="1" fillId="0" borderId="32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0" fillId="0" borderId="48" xfId="0" applyBorder="1"/>
    <xf numFmtId="0" fontId="15" fillId="0" borderId="47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14" fillId="0" borderId="0" xfId="0" applyNumberFormat="1" applyFont="1" applyAlignment="1" applyProtection="1">
      <alignment horizontal="center" vertical="center"/>
      <protection locked="0"/>
    </xf>
    <xf numFmtId="164" fontId="9" fillId="4" borderId="30" xfId="0" applyNumberFormat="1" applyFont="1" applyFill="1" applyBorder="1" applyAlignment="1">
      <alignment horizontal="center" vertical="center"/>
    </xf>
    <xf numFmtId="164" fontId="0" fillId="0" borderId="20" xfId="0" applyNumberFormat="1" applyBorder="1" applyAlignment="1">
      <alignment horizontal="center"/>
    </xf>
    <xf numFmtId="164" fontId="18" fillId="0" borderId="37" xfId="0" applyNumberFormat="1" applyFont="1" applyBorder="1" applyAlignment="1">
      <alignment horizontal="center" vertical="center"/>
    </xf>
    <xf numFmtId="164" fontId="0" fillId="0" borderId="47" xfId="0" applyNumberFormat="1" applyBorder="1" applyAlignment="1">
      <alignment horizontal="center" vertical="center"/>
    </xf>
    <xf numFmtId="164" fontId="0" fillId="0" borderId="30" xfId="0" applyNumberFormat="1" applyBorder="1"/>
    <xf numFmtId="164" fontId="15" fillId="0" borderId="26" xfId="0" applyNumberFormat="1" applyFont="1" applyBorder="1" applyAlignment="1">
      <alignment horizontal="center" vertical="center"/>
    </xf>
    <xf numFmtId="164" fontId="0" fillId="0" borderId="30" xfId="0" applyNumberFormat="1" applyBorder="1" applyAlignment="1">
      <alignment horizontal="center"/>
    </xf>
    <xf numFmtId="164" fontId="19" fillId="0" borderId="37" xfId="0" applyNumberFormat="1" applyFon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0" fillId="0" borderId="47" xfId="0" applyNumberFormat="1" applyBorder="1"/>
    <xf numFmtId="164" fontId="0" fillId="0" borderId="26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6" fillId="0" borderId="37" xfId="0" applyFont="1" applyBorder="1" applyAlignment="1">
      <alignment horizontal="center"/>
    </xf>
    <xf numFmtId="0" fontId="8" fillId="12" borderId="19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/>
    </xf>
    <xf numFmtId="0" fontId="2" fillId="12" borderId="25" xfId="0" applyFont="1" applyFill="1" applyBorder="1"/>
    <xf numFmtId="0" fontId="2" fillId="12" borderId="20" xfId="0" applyFont="1" applyFill="1" applyBorder="1"/>
    <xf numFmtId="0" fontId="2" fillId="12" borderId="0" xfId="0" applyFont="1" applyFill="1"/>
    <xf numFmtId="0" fontId="16" fillId="0" borderId="37" xfId="1" applyBorder="1" applyAlignment="1">
      <alignment horizontal="center"/>
    </xf>
    <xf numFmtId="0" fontId="16" fillId="0" borderId="44" xfId="1" applyBorder="1" applyAlignment="1">
      <alignment horizontal="center"/>
    </xf>
    <xf numFmtId="0" fontId="16" fillId="0" borderId="44" xfId="1" applyBorder="1" applyAlignment="1">
      <alignment horizontal="center" vertical="center" wrapText="1"/>
    </xf>
    <xf numFmtId="0" fontId="16" fillId="0" borderId="0" xfId="1" applyAlignment="1">
      <alignment horizontal="center"/>
    </xf>
    <xf numFmtId="0" fontId="1" fillId="0" borderId="45" xfId="0" applyFon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0" fontId="2" fillId="12" borderId="25" xfId="0" applyFont="1" applyFill="1" applyBorder="1" applyAlignment="1">
      <alignment horizontal="center"/>
    </xf>
    <xf numFmtId="0" fontId="0" fillId="0" borderId="47" xfId="0" applyBorder="1" applyAlignment="1">
      <alignment horizontal="center" vertical="center" wrapText="1"/>
    </xf>
    <xf numFmtId="0" fontId="8" fillId="12" borderId="34" xfId="0" applyFont="1" applyFill="1" applyBorder="1" applyAlignment="1">
      <alignment horizontal="center"/>
    </xf>
    <xf numFmtId="0" fontId="8" fillId="12" borderId="34" xfId="0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/>
    </xf>
    <xf numFmtId="0" fontId="2" fillId="12" borderId="30" xfId="0" applyFont="1" applyFill="1" applyBorder="1"/>
    <xf numFmtId="0" fontId="2" fillId="12" borderId="34" xfId="0" applyFont="1" applyFill="1" applyBorder="1"/>
    <xf numFmtId="0" fontId="2" fillId="12" borderId="30" xfId="0" applyFont="1" applyFill="1" applyBorder="1" applyAlignment="1">
      <alignment horizontal="center"/>
    </xf>
    <xf numFmtId="0" fontId="15" fillId="0" borderId="44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/>
    </xf>
    <xf numFmtId="0" fontId="11" fillId="4" borderId="3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2" fillId="0" borderId="0" xfId="0" applyFont="1"/>
    <xf numFmtId="0" fontId="6" fillId="13" borderId="34" xfId="0" applyFont="1" applyFill="1" applyBorder="1" applyAlignment="1">
      <alignment horizontal="center" vertical="center"/>
    </xf>
    <xf numFmtId="0" fontId="6" fillId="13" borderId="44" xfId="0" applyFont="1" applyFill="1" applyBorder="1" applyAlignment="1">
      <alignment horizontal="center" vertical="center"/>
    </xf>
    <xf numFmtId="0" fontId="23" fillId="12" borderId="0" xfId="0" applyFont="1" applyFill="1" applyAlignment="1" applyProtection="1">
      <alignment horizontal="center" vertical="center"/>
      <protection locked="0"/>
    </xf>
    <xf numFmtId="15" fontId="14" fillId="13" borderId="0" xfId="0" applyNumberFormat="1" applyFont="1" applyFill="1" applyAlignment="1" applyProtection="1">
      <alignment horizontal="center" vertical="center"/>
      <protection locked="0"/>
    </xf>
    <xf numFmtId="0" fontId="14" fillId="14" borderId="0" xfId="0" applyFont="1" applyFill="1" applyAlignment="1" applyProtection="1">
      <alignment horizontal="center" vertical="center"/>
      <protection locked="0"/>
    </xf>
    <xf numFmtId="0" fontId="8" fillId="12" borderId="26" xfId="0" applyFont="1" applyFill="1" applyBorder="1" applyAlignment="1">
      <alignment horizontal="center" vertical="center"/>
    </xf>
    <xf numFmtId="0" fontId="8" fillId="12" borderId="44" xfId="0" applyFont="1" applyFill="1" applyBorder="1" applyAlignment="1">
      <alignment horizontal="center"/>
    </xf>
    <xf numFmtId="0" fontId="8" fillId="12" borderId="44" xfId="0" applyFont="1" applyFill="1" applyBorder="1" applyAlignment="1">
      <alignment horizontal="center" vertical="center"/>
    </xf>
    <xf numFmtId="0" fontId="1" fillId="15" borderId="37" xfId="0" applyFont="1" applyFill="1" applyBorder="1" applyAlignment="1">
      <alignment horizontal="center"/>
    </xf>
    <xf numFmtId="0" fontId="1" fillId="15" borderId="44" xfId="0" applyFont="1" applyFill="1" applyBorder="1" applyAlignment="1">
      <alignment horizontal="center"/>
    </xf>
    <xf numFmtId="0" fontId="6" fillId="15" borderId="37" xfId="0" applyFont="1" applyFill="1" applyBorder="1" applyAlignment="1">
      <alignment horizontal="center" vertical="center"/>
    </xf>
    <xf numFmtId="0" fontId="6" fillId="15" borderId="44" xfId="0" applyFont="1" applyFill="1" applyBorder="1" applyAlignment="1">
      <alignment horizontal="center" vertical="center"/>
    </xf>
    <xf numFmtId="0" fontId="6" fillId="15" borderId="34" xfId="0" applyFont="1" applyFill="1" applyBorder="1" applyAlignment="1">
      <alignment horizontal="center"/>
    </xf>
    <xf numFmtId="0" fontId="8" fillId="11" borderId="31" xfId="0" applyFont="1" applyFill="1" applyBorder="1" applyAlignment="1" applyProtection="1">
      <alignment horizontal="center" vertical="center" wrapText="1"/>
      <protection locked="0"/>
    </xf>
    <xf numFmtId="0" fontId="1" fillId="0" borderId="40" xfId="0" applyFont="1" applyBorder="1" applyAlignment="1">
      <alignment horizontal="center" vertical="center"/>
    </xf>
    <xf numFmtId="49" fontId="14" fillId="0" borderId="3" xfId="0" applyNumberFormat="1" applyFont="1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9" fontId="0" fillId="0" borderId="3" xfId="2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0" fontId="6" fillId="13" borderId="37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164" fontId="0" fillId="0" borderId="3" xfId="0" applyNumberFormat="1" applyBorder="1"/>
    <xf numFmtId="0" fontId="6" fillId="13" borderId="41" xfId="0" applyFont="1" applyFill="1" applyBorder="1" applyAlignment="1">
      <alignment horizontal="center" vertical="center"/>
    </xf>
    <xf numFmtId="0" fontId="6" fillId="13" borderId="3" xfId="0" applyFont="1" applyFill="1" applyBorder="1" applyAlignment="1">
      <alignment horizontal="center" vertical="center"/>
    </xf>
    <xf numFmtId="0" fontId="12" fillId="3" borderId="17" xfId="0" applyFont="1" applyFill="1" applyBorder="1" applyAlignment="1" applyProtection="1">
      <alignment horizontal="center" wrapText="1"/>
      <protection locked="0"/>
    </xf>
    <xf numFmtId="0" fontId="12" fillId="3" borderId="24" xfId="0" applyFont="1" applyFill="1" applyBorder="1" applyAlignment="1" applyProtection="1">
      <alignment horizontal="center" wrapText="1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 wrapText="1"/>
      <protection locked="0"/>
    </xf>
    <xf numFmtId="0" fontId="4" fillId="0" borderId="13" xfId="0" applyFont="1" applyBorder="1" applyAlignment="1" applyProtection="1">
      <alignment horizontal="center" vertical="center" wrapText="1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11" fillId="4" borderId="14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2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20" xfId="0" applyFont="1" applyFill="1" applyBorder="1" applyAlignment="1" applyProtection="1">
      <alignment horizontal="center" wrapText="1"/>
      <protection locked="0"/>
    </xf>
    <xf numFmtId="0" fontId="3" fillId="3" borderId="34" xfId="0" applyFont="1" applyFill="1" applyBorder="1" applyAlignment="1" applyProtection="1">
      <alignment horizontal="center" wrapText="1"/>
      <protection locked="0"/>
    </xf>
    <xf numFmtId="0" fontId="3" fillId="3" borderId="9" xfId="0" applyFont="1" applyFill="1" applyBorder="1" applyAlignment="1" applyProtection="1">
      <alignment horizontal="center" wrapText="1"/>
      <protection locked="0"/>
    </xf>
    <xf numFmtId="0" fontId="21" fillId="0" borderId="0" xfId="0" applyFont="1"/>
    <xf numFmtId="0" fontId="1" fillId="0" borderId="37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4" fontId="0" fillId="0" borderId="37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5" borderId="37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6" fillId="0" borderId="26" xfId="1" quotePrefix="1" applyBorder="1" applyAlignment="1">
      <alignment horizontal="center" vertical="center"/>
    </xf>
    <xf numFmtId="0" fontId="16" fillId="0" borderId="3" xfId="1" quotePrefix="1" applyBorder="1" applyAlignment="1">
      <alignment horizontal="center" vertical="center"/>
    </xf>
    <xf numFmtId="0" fontId="16" fillId="0" borderId="5" xfId="1" quotePrefix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4" fillId="12" borderId="37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16" fillId="0" borderId="26" xfId="1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/>
    </xf>
    <xf numFmtId="0" fontId="16" fillId="0" borderId="37" xfId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8" fillId="12" borderId="37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2" xfId="0" applyBorder="1" applyAlignment="1">
      <alignment horizontal="center" vertical="center" wrapText="1"/>
    </xf>
    <xf numFmtId="0" fontId="0" fillId="0" borderId="37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36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6" fillId="0" borderId="35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42" xfId="0" applyBorder="1" applyAlignment="1">
      <alignment horizontal="center"/>
    </xf>
    <xf numFmtId="0" fontId="15" fillId="0" borderId="37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15" borderId="37" xfId="0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4" fontId="15" fillId="0" borderId="37" xfId="0" applyNumberFormat="1" applyFont="1" applyBorder="1" applyAlignment="1">
      <alignment horizontal="center" vertical="center" wrapText="1"/>
    </xf>
    <xf numFmtId="164" fontId="15" fillId="0" borderId="34" xfId="0" applyNumberFormat="1" applyFont="1" applyBorder="1" applyAlignment="1">
      <alignment horizontal="center" vertical="center" wrapText="1"/>
    </xf>
    <xf numFmtId="164" fontId="15" fillId="0" borderId="41" xfId="0" applyNumberFormat="1" applyFont="1" applyBorder="1" applyAlignment="1">
      <alignment horizontal="center" vertical="center" wrapText="1"/>
    </xf>
    <xf numFmtId="0" fontId="15" fillId="0" borderId="53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1" fontId="0" fillId="0" borderId="34" xfId="0" applyNumberFormat="1" applyBorder="1" applyAlignment="1">
      <alignment horizontal="center" vertical="center"/>
    </xf>
    <xf numFmtId="1" fontId="0" fillId="0" borderId="41" xfId="0" applyNumberForma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6" fillId="0" borderId="37" xfId="1" quotePrefix="1" applyBorder="1" applyAlignment="1">
      <alignment horizontal="center" vertical="center"/>
    </xf>
    <xf numFmtId="0" fontId="16" fillId="0" borderId="38" xfId="1" applyBorder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16" fillId="0" borderId="34" xfId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8" fillId="12" borderId="26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0" fillId="0" borderId="26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16" fillId="0" borderId="37" xfId="1" applyBorder="1" applyAlignment="1">
      <alignment horizontal="center" vertical="center" wrapText="1"/>
    </xf>
    <xf numFmtId="0" fontId="16" fillId="0" borderId="34" xfId="1" applyBorder="1" applyAlignment="1">
      <alignment horizontal="center" vertical="center" wrapText="1"/>
    </xf>
    <xf numFmtId="0" fontId="16" fillId="0" borderId="41" xfId="1" applyBorder="1" applyAlignment="1">
      <alignment horizontal="center" vertical="center" wrapText="1"/>
    </xf>
    <xf numFmtId="0" fontId="3" fillId="3" borderId="25" xfId="0" applyFont="1" applyFill="1" applyBorder="1" applyAlignment="1" applyProtection="1">
      <alignment horizontal="center" wrapText="1"/>
      <protection locked="0"/>
    </xf>
    <xf numFmtId="0" fontId="3" fillId="3" borderId="29" xfId="0" applyFont="1" applyFill="1" applyBorder="1" applyAlignment="1" applyProtection="1">
      <alignment horizontal="center" wrapText="1"/>
      <protection locked="0"/>
    </xf>
    <xf numFmtId="0" fontId="3" fillId="3" borderId="30" xfId="0" applyFont="1" applyFill="1" applyBorder="1" applyAlignment="1" applyProtection="1">
      <alignment horizontal="center" wrapText="1"/>
      <protection locked="0"/>
    </xf>
    <xf numFmtId="0" fontId="3" fillId="3" borderId="31" xfId="0" applyFont="1" applyFill="1" applyBorder="1" applyAlignment="1" applyProtection="1">
      <alignment horizontal="center" wrapText="1"/>
      <protection locked="0"/>
    </xf>
    <xf numFmtId="0" fontId="3" fillId="3" borderId="32" xfId="0" applyFont="1" applyFill="1" applyBorder="1" applyAlignment="1" applyProtection="1">
      <alignment horizontal="center" wrapText="1"/>
      <protection locked="0"/>
    </xf>
    <xf numFmtId="0" fontId="3" fillId="3" borderId="33" xfId="0" applyFont="1" applyFill="1" applyBorder="1" applyAlignment="1" applyProtection="1">
      <alignment horizontal="center" wrapText="1"/>
      <protection locked="0"/>
    </xf>
    <xf numFmtId="0" fontId="12" fillId="3" borderId="20" xfId="0" applyFont="1" applyFill="1" applyBorder="1" applyAlignment="1" applyProtection="1">
      <alignment horizontal="center" vertical="center" wrapText="1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6" fillId="0" borderId="36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8" fillId="12" borderId="37" xfId="0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6" fillId="13" borderId="34" xfId="0" applyFont="1" applyFill="1" applyBorder="1" applyAlignment="1">
      <alignment horizontal="center" vertical="center"/>
    </xf>
    <xf numFmtId="0" fontId="6" fillId="13" borderId="41" xfId="0" applyFont="1" applyFill="1" applyBorder="1" applyAlignment="1">
      <alignment horizontal="center" vertical="center"/>
    </xf>
    <xf numFmtId="0" fontId="16" fillId="0" borderId="41" xfId="1" applyBorder="1" applyAlignment="1">
      <alignment horizontal="center" vertical="center"/>
    </xf>
    <xf numFmtId="0" fontId="0" fillId="0" borderId="38" xfId="0" applyBorder="1" applyAlignment="1">
      <alignment horizontal="center" wrapText="1"/>
    </xf>
    <xf numFmtId="0" fontId="0" fillId="0" borderId="42" xfId="0" applyBorder="1" applyAlignment="1">
      <alignment horizontal="center" wrapText="1"/>
    </xf>
    <xf numFmtId="0" fontId="8" fillId="12" borderId="34" xfId="0" applyFont="1" applyFill="1" applyBorder="1" applyAlignment="1">
      <alignment horizontal="center" vertical="center"/>
    </xf>
    <xf numFmtId="0" fontId="8" fillId="12" borderId="41" xfId="0" applyFont="1" applyFill="1" applyBorder="1" applyAlignment="1">
      <alignment horizontal="center" vertical="center"/>
    </xf>
    <xf numFmtId="0" fontId="16" fillId="0" borderId="34" xfId="1" quotePrefix="1" applyBorder="1" applyAlignment="1">
      <alignment horizontal="center" vertical="center"/>
    </xf>
    <xf numFmtId="0" fontId="16" fillId="0" borderId="41" xfId="1" quotePrefix="1" applyBorder="1" applyAlignment="1">
      <alignment horizontal="center" vertical="center"/>
    </xf>
    <xf numFmtId="0" fontId="3" fillId="3" borderId="36" xfId="0" applyFont="1" applyFill="1" applyBorder="1" applyAlignment="1" applyProtection="1">
      <alignment horizontal="center" wrapText="1"/>
      <protection locked="0"/>
    </xf>
    <xf numFmtId="0" fontId="3" fillId="3" borderId="35" xfId="0" applyFont="1" applyFill="1" applyBorder="1" applyAlignment="1" applyProtection="1">
      <alignment horizontal="center" wrapText="1"/>
      <protection locked="0"/>
    </xf>
    <xf numFmtId="0" fontId="3" fillId="3" borderId="8" xfId="0" applyFont="1" applyFill="1" applyBorder="1" applyAlignment="1" applyProtection="1">
      <alignment horizontal="center" wrapText="1"/>
      <protection locked="0"/>
    </xf>
    <xf numFmtId="0" fontId="12" fillId="3" borderId="26" xfId="0" applyFont="1" applyFill="1" applyBorder="1" applyAlignment="1" applyProtection="1">
      <alignment horizontal="center" vertical="center" wrapText="1"/>
      <protection locked="0"/>
    </xf>
    <xf numFmtId="0" fontId="0" fillId="0" borderId="38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</cellXfs>
  <cellStyles count="3">
    <cellStyle name="Hipervínculo" xfId="1" builtinId="8"/>
    <cellStyle name="Normal" xfId="0" builtinId="0"/>
    <cellStyle name="Porcentaje" xfId="2" builtinId="5"/>
  </cellStyles>
  <dxfs count="59"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 patternType="solid">
          <bgColor rgb="FFFF5050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  <color rgb="FFFF6E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Evaluación proveedor 1er 3T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'Lista de proveedores Obsoleta'!$B$9:$B$202</c:f>
              <c:strCache>
                <c:ptCount val="194"/>
                <c:pt idx="0">
                  <c:v>PIQ-02</c:v>
                </c:pt>
                <c:pt idx="4">
                  <c:v>PIQ-03</c:v>
                </c:pt>
                <c:pt idx="5">
                  <c:v>PIQ-04</c:v>
                </c:pt>
                <c:pt idx="6">
                  <c:v>PIQ-05</c:v>
                </c:pt>
                <c:pt idx="11">
                  <c:v>PIQ-06</c:v>
                </c:pt>
                <c:pt idx="12">
                  <c:v>PIQ-07</c:v>
                </c:pt>
                <c:pt idx="13">
                  <c:v>PIQ-08</c:v>
                </c:pt>
                <c:pt idx="17">
                  <c:v>PIQ-09</c:v>
                </c:pt>
                <c:pt idx="18">
                  <c:v>PIQ-10</c:v>
                </c:pt>
                <c:pt idx="19">
                  <c:v>PIQ-11</c:v>
                </c:pt>
                <c:pt idx="20">
                  <c:v>PIQ-12</c:v>
                </c:pt>
                <c:pt idx="23">
                  <c:v>PIQ-13</c:v>
                </c:pt>
                <c:pt idx="24">
                  <c:v>PIQ-14</c:v>
                </c:pt>
                <c:pt idx="28">
                  <c:v>PIQ-15</c:v>
                </c:pt>
                <c:pt idx="29">
                  <c:v>PIQ-16</c:v>
                </c:pt>
                <c:pt idx="33">
                  <c:v>PIQ-17</c:v>
                </c:pt>
                <c:pt idx="34">
                  <c:v>PIQ-18</c:v>
                </c:pt>
                <c:pt idx="37">
                  <c:v>PIQ-19</c:v>
                </c:pt>
                <c:pt idx="38">
                  <c:v>PIQ-20</c:v>
                </c:pt>
                <c:pt idx="39">
                  <c:v>PIQ-21</c:v>
                </c:pt>
                <c:pt idx="40">
                  <c:v>PIQ-22</c:v>
                </c:pt>
                <c:pt idx="46">
                  <c:v>PIQ-23</c:v>
                </c:pt>
                <c:pt idx="48">
                  <c:v>PIQ-24</c:v>
                </c:pt>
                <c:pt idx="49">
                  <c:v>PIQ-25</c:v>
                </c:pt>
                <c:pt idx="51">
                  <c:v>PIQ-26</c:v>
                </c:pt>
                <c:pt idx="52">
                  <c:v>PIQ-27</c:v>
                </c:pt>
                <c:pt idx="54">
                  <c:v>PIQ-28</c:v>
                </c:pt>
                <c:pt idx="58">
                  <c:v>PIQ-29</c:v>
                </c:pt>
                <c:pt idx="60">
                  <c:v>PIQ-30</c:v>
                </c:pt>
                <c:pt idx="61">
                  <c:v>PIQ-31</c:v>
                </c:pt>
                <c:pt idx="66">
                  <c:v>PIQ-32</c:v>
                </c:pt>
                <c:pt idx="67">
                  <c:v>PIQ-33</c:v>
                </c:pt>
                <c:pt idx="78">
                  <c:v>PIQ-34</c:v>
                </c:pt>
                <c:pt idx="79">
                  <c:v>PIQ-35</c:v>
                </c:pt>
                <c:pt idx="80">
                  <c:v>PIQ-36</c:v>
                </c:pt>
                <c:pt idx="81">
                  <c:v>PIQ-37</c:v>
                </c:pt>
                <c:pt idx="82">
                  <c:v>PIQ-38</c:v>
                </c:pt>
                <c:pt idx="87">
                  <c:v>PIQ-39</c:v>
                </c:pt>
                <c:pt idx="88">
                  <c:v>PIQ-40</c:v>
                </c:pt>
                <c:pt idx="92">
                  <c:v>PIQ-41</c:v>
                </c:pt>
                <c:pt idx="96">
                  <c:v>PIQ-42</c:v>
                </c:pt>
                <c:pt idx="99">
                  <c:v>PIQ-43</c:v>
                </c:pt>
                <c:pt idx="102">
                  <c:v>PIQ-44</c:v>
                </c:pt>
                <c:pt idx="106">
                  <c:v>PIQ-45</c:v>
                </c:pt>
                <c:pt idx="107">
                  <c:v>PIQ-46</c:v>
                </c:pt>
                <c:pt idx="108">
                  <c:v>PIQ-47</c:v>
                </c:pt>
                <c:pt idx="112">
                  <c:v>PIQ-48</c:v>
                </c:pt>
                <c:pt idx="113">
                  <c:v>PIQ-49</c:v>
                </c:pt>
                <c:pt idx="114">
                  <c:v>PIQ-50</c:v>
                </c:pt>
                <c:pt idx="115">
                  <c:v>PIQ-51</c:v>
                </c:pt>
                <c:pt idx="119">
                  <c:v>PIQ-52</c:v>
                </c:pt>
                <c:pt idx="120">
                  <c:v>PIQ-53</c:v>
                </c:pt>
                <c:pt idx="121">
                  <c:v>PIQ-54</c:v>
                </c:pt>
                <c:pt idx="122">
                  <c:v>PIQ-55</c:v>
                </c:pt>
                <c:pt idx="125">
                  <c:v>PIQ-56</c:v>
                </c:pt>
                <c:pt idx="127">
                  <c:v>PIQ-57</c:v>
                </c:pt>
                <c:pt idx="131">
                  <c:v>PIQ-58</c:v>
                </c:pt>
                <c:pt idx="132">
                  <c:v>PIQ-59</c:v>
                </c:pt>
                <c:pt idx="133">
                  <c:v>PIQ-60</c:v>
                </c:pt>
                <c:pt idx="136">
                  <c:v>PIQ-61</c:v>
                </c:pt>
                <c:pt idx="139">
                  <c:v>PIQ-62</c:v>
                </c:pt>
                <c:pt idx="142">
                  <c:v>PIQ-63</c:v>
                </c:pt>
                <c:pt idx="143">
                  <c:v>PIQ-64</c:v>
                </c:pt>
                <c:pt idx="147">
                  <c:v>PIQ-65</c:v>
                </c:pt>
                <c:pt idx="148">
                  <c:v>PIQ-66</c:v>
                </c:pt>
                <c:pt idx="149">
                  <c:v>PIQ-67</c:v>
                </c:pt>
                <c:pt idx="150">
                  <c:v>PIQ-68</c:v>
                </c:pt>
                <c:pt idx="151">
                  <c:v>PIQ-69</c:v>
                </c:pt>
                <c:pt idx="154">
                  <c:v>PIQ-70</c:v>
                </c:pt>
                <c:pt idx="156">
                  <c:v>PIQ-71</c:v>
                </c:pt>
                <c:pt idx="162">
                  <c:v>PIQ-72</c:v>
                </c:pt>
                <c:pt idx="165">
                  <c:v>PIQ-73</c:v>
                </c:pt>
                <c:pt idx="166">
                  <c:v>PIQ-74</c:v>
                </c:pt>
                <c:pt idx="169">
                  <c:v>PIQ-75</c:v>
                </c:pt>
                <c:pt idx="170">
                  <c:v>PIQ-76</c:v>
                </c:pt>
                <c:pt idx="173">
                  <c:v>PIQ-77</c:v>
                </c:pt>
                <c:pt idx="176">
                  <c:v>PIQ-78</c:v>
                </c:pt>
                <c:pt idx="177">
                  <c:v>PIQ-79</c:v>
                </c:pt>
                <c:pt idx="178">
                  <c:v>PIQ-80</c:v>
                </c:pt>
                <c:pt idx="179">
                  <c:v>PIQ-81</c:v>
                </c:pt>
                <c:pt idx="180">
                  <c:v>PIQ-82</c:v>
                </c:pt>
                <c:pt idx="181">
                  <c:v>PIQ-83</c:v>
                </c:pt>
                <c:pt idx="182">
                  <c:v>PIQ-84</c:v>
                </c:pt>
                <c:pt idx="185">
                  <c:v>PIQ-85</c:v>
                </c:pt>
                <c:pt idx="186">
                  <c:v>PIQ-86</c:v>
                </c:pt>
                <c:pt idx="187">
                  <c:v>PIQ-87</c:v>
                </c:pt>
                <c:pt idx="188">
                  <c:v>PIQ-88</c:v>
                </c:pt>
                <c:pt idx="192">
                  <c:v>PIQ-89</c:v>
                </c:pt>
                <c:pt idx="193">
                  <c:v>PIQ-90</c:v>
                </c:pt>
              </c:strCache>
            </c:strRef>
          </c:cat>
          <c:val>
            <c:numRef>
              <c:f>'Lista de proveedores Obsoleta'!$P$9:$P$202</c:f>
              <c:numCache>
                <c:formatCode>General</c:formatCode>
                <c:ptCount val="194"/>
                <c:pt idx="0" formatCode="0%">
                  <c:v>0.81</c:v>
                </c:pt>
                <c:pt idx="20" formatCode="0%">
                  <c:v>0.98</c:v>
                </c:pt>
                <c:pt idx="24" formatCode="0%">
                  <c:v>0.9</c:v>
                </c:pt>
                <c:pt idx="33" formatCode="0%">
                  <c:v>0.89</c:v>
                </c:pt>
                <c:pt idx="37" formatCode="0%">
                  <c:v>0.96</c:v>
                </c:pt>
                <c:pt idx="49" formatCode="0%">
                  <c:v>0.86</c:v>
                </c:pt>
                <c:pt idx="61" formatCode="0%">
                  <c:v>0.97</c:v>
                </c:pt>
                <c:pt idx="82" formatCode="0%">
                  <c:v>0.9</c:v>
                </c:pt>
                <c:pt idx="92" formatCode="0%">
                  <c:v>0.9</c:v>
                </c:pt>
                <c:pt idx="148" formatCode="0%">
                  <c:v>0.86</c:v>
                </c:pt>
                <c:pt idx="156" formatCode="0%">
                  <c:v>0.82</c:v>
                </c:pt>
                <c:pt idx="170" formatCode="0%">
                  <c:v>0.78</c:v>
                </c:pt>
                <c:pt idx="173" formatCode="0%">
                  <c:v>0.8</c:v>
                </c:pt>
                <c:pt idx="178" formatCode="0%">
                  <c:v>0.93</c:v>
                </c:pt>
                <c:pt idx="187" formatCode="0%">
                  <c:v>0.82</c:v>
                </c:pt>
                <c:pt idx="188" formatCode="0%">
                  <c:v>0.88</c:v>
                </c:pt>
                <c:pt idx="193" formatCode="0%">
                  <c:v>0.84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8-44F9-85BA-9A55F0D0A086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'Lista de proveedores Obsoleta'!$B$9:$B$202</c:f>
              <c:strCache>
                <c:ptCount val="194"/>
                <c:pt idx="0">
                  <c:v>PIQ-02</c:v>
                </c:pt>
                <c:pt idx="4">
                  <c:v>PIQ-03</c:v>
                </c:pt>
                <c:pt idx="5">
                  <c:v>PIQ-04</c:v>
                </c:pt>
                <c:pt idx="6">
                  <c:v>PIQ-05</c:v>
                </c:pt>
                <c:pt idx="11">
                  <c:v>PIQ-06</c:v>
                </c:pt>
                <c:pt idx="12">
                  <c:v>PIQ-07</c:v>
                </c:pt>
                <c:pt idx="13">
                  <c:v>PIQ-08</c:v>
                </c:pt>
                <c:pt idx="17">
                  <c:v>PIQ-09</c:v>
                </c:pt>
                <c:pt idx="18">
                  <c:v>PIQ-10</c:v>
                </c:pt>
                <c:pt idx="19">
                  <c:v>PIQ-11</c:v>
                </c:pt>
                <c:pt idx="20">
                  <c:v>PIQ-12</c:v>
                </c:pt>
                <c:pt idx="23">
                  <c:v>PIQ-13</c:v>
                </c:pt>
                <c:pt idx="24">
                  <c:v>PIQ-14</c:v>
                </c:pt>
                <c:pt idx="28">
                  <c:v>PIQ-15</c:v>
                </c:pt>
                <c:pt idx="29">
                  <c:v>PIQ-16</c:v>
                </c:pt>
                <c:pt idx="33">
                  <c:v>PIQ-17</c:v>
                </c:pt>
                <c:pt idx="34">
                  <c:v>PIQ-18</c:v>
                </c:pt>
                <c:pt idx="37">
                  <c:v>PIQ-19</c:v>
                </c:pt>
                <c:pt idx="38">
                  <c:v>PIQ-20</c:v>
                </c:pt>
                <c:pt idx="39">
                  <c:v>PIQ-21</c:v>
                </c:pt>
                <c:pt idx="40">
                  <c:v>PIQ-22</c:v>
                </c:pt>
                <c:pt idx="46">
                  <c:v>PIQ-23</c:v>
                </c:pt>
                <c:pt idx="48">
                  <c:v>PIQ-24</c:v>
                </c:pt>
                <c:pt idx="49">
                  <c:v>PIQ-25</c:v>
                </c:pt>
                <c:pt idx="51">
                  <c:v>PIQ-26</c:v>
                </c:pt>
                <c:pt idx="52">
                  <c:v>PIQ-27</c:v>
                </c:pt>
                <c:pt idx="54">
                  <c:v>PIQ-28</c:v>
                </c:pt>
                <c:pt idx="58">
                  <c:v>PIQ-29</c:v>
                </c:pt>
                <c:pt idx="60">
                  <c:v>PIQ-30</c:v>
                </c:pt>
                <c:pt idx="61">
                  <c:v>PIQ-31</c:v>
                </c:pt>
                <c:pt idx="66">
                  <c:v>PIQ-32</c:v>
                </c:pt>
                <c:pt idx="67">
                  <c:v>PIQ-33</c:v>
                </c:pt>
                <c:pt idx="78">
                  <c:v>PIQ-34</c:v>
                </c:pt>
                <c:pt idx="79">
                  <c:v>PIQ-35</c:v>
                </c:pt>
                <c:pt idx="80">
                  <c:v>PIQ-36</c:v>
                </c:pt>
                <c:pt idx="81">
                  <c:v>PIQ-37</c:v>
                </c:pt>
                <c:pt idx="82">
                  <c:v>PIQ-38</c:v>
                </c:pt>
                <c:pt idx="87">
                  <c:v>PIQ-39</c:v>
                </c:pt>
                <c:pt idx="88">
                  <c:v>PIQ-40</c:v>
                </c:pt>
                <c:pt idx="92">
                  <c:v>PIQ-41</c:v>
                </c:pt>
                <c:pt idx="96">
                  <c:v>PIQ-42</c:v>
                </c:pt>
                <c:pt idx="99">
                  <c:v>PIQ-43</c:v>
                </c:pt>
                <c:pt idx="102">
                  <c:v>PIQ-44</c:v>
                </c:pt>
                <c:pt idx="106">
                  <c:v>PIQ-45</c:v>
                </c:pt>
                <c:pt idx="107">
                  <c:v>PIQ-46</c:v>
                </c:pt>
                <c:pt idx="108">
                  <c:v>PIQ-47</c:v>
                </c:pt>
                <c:pt idx="112">
                  <c:v>PIQ-48</c:v>
                </c:pt>
                <c:pt idx="113">
                  <c:v>PIQ-49</c:v>
                </c:pt>
                <c:pt idx="114">
                  <c:v>PIQ-50</c:v>
                </c:pt>
                <c:pt idx="115">
                  <c:v>PIQ-51</c:v>
                </c:pt>
                <c:pt idx="119">
                  <c:v>PIQ-52</c:v>
                </c:pt>
                <c:pt idx="120">
                  <c:v>PIQ-53</c:v>
                </c:pt>
                <c:pt idx="121">
                  <c:v>PIQ-54</c:v>
                </c:pt>
                <c:pt idx="122">
                  <c:v>PIQ-55</c:v>
                </c:pt>
                <c:pt idx="125">
                  <c:v>PIQ-56</c:v>
                </c:pt>
                <c:pt idx="127">
                  <c:v>PIQ-57</c:v>
                </c:pt>
                <c:pt idx="131">
                  <c:v>PIQ-58</c:v>
                </c:pt>
                <c:pt idx="132">
                  <c:v>PIQ-59</c:v>
                </c:pt>
                <c:pt idx="133">
                  <c:v>PIQ-60</c:v>
                </c:pt>
                <c:pt idx="136">
                  <c:v>PIQ-61</c:v>
                </c:pt>
                <c:pt idx="139">
                  <c:v>PIQ-62</c:v>
                </c:pt>
                <c:pt idx="142">
                  <c:v>PIQ-63</c:v>
                </c:pt>
                <c:pt idx="143">
                  <c:v>PIQ-64</c:v>
                </c:pt>
                <c:pt idx="147">
                  <c:v>PIQ-65</c:v>
                </c:pt>
                <c:pt idx="148">
                  <c:v>PIQ-66</c:v>
                </c:pt>
                <c:pt idx="149">
                  <c:v>PIQ-67</c:v>
                </c:pt>
                <c:pt idx="150">
                  <c:v>PIQ-68</c:v>
                </c:pt>
                <c:pt idx="151">
                  <c:v>PIQ-69</c:v>
                </c:pt>
                <c:pt idx="154">
                  <c:v>PIQ-70</c:v>
                </c:pt>
                <c:pt idx="156">
                  <c:v>PIQ-71</c:v>
                </c:pt>
                <c:pt idx="162">
                  <c:v>PIQ-72</c:v>
                </c:pt>
                <c:pt idx="165">
                  <c:v>PIQ-73</c:v>
                </c:pt>
                <c:pt idx="166">
                  <c:v>PIQ-74</c:v>
                </c:pt>
                <c:pt idx="169">
                  <c:v>PIQ-75</c:v>
                </c:pt>
                <c:pt idx="170">
                  <c:v>PIQ-76</c:v>
                </c:pt>
                <c:pt idx="173">
                  <c:v>PIQ-77</c:v>
                </c:pt>
                <c:pt idx="176">
                  <c:v>PIQ-78</c:v>
                </c:pt>
                <c:pt idx="177">
                  <c:v>PIQ-79</c:v>
                </c:pt>
                <c:pt idx="178">
                  <c:v>PIQ-80</c:v>
                </c:pt>
                <c:pt idx="179">
                  <c:v>PIQ-81</c:v>
                </c:pt>
                <c:pt idx="180">
                  <c:v>PIQ-82</c:v>
                </c:pt>
                <c:pt idx="181">
                  <c:v>PIQ-83</c:v>
                </c:pt>
                <c:pt idx="182">
                  <c:v>PIQ-84</c:v>
                </c:pt>
                <c:pt idx="185">
                  <c:v>PIQ-85</c:v>
                </c:pt>
                <c:pt idx="186">
                  <c:v>PIQ-86</c:v>
                </c:pt>
                <c:pt idx="187">
                  <c:v>PIQ-87</c:v>
                </c:pt>
                <c:pt idx="188">
                  <c:v>PIQ-88</c:v>
                </c:pt>
                <c:pt idx="192">
                  <c:v>PIQ-89</c:v>
                </c:pt>
                <c:pt idx="193">
                  <c:v>PIQ-90</c:v>
                </c:pt>
              </c:strCache>
            </c:strRef>
          </c:cat>
          <c:val>
            <c:numRef>
              <c:f>'Lista de proveedores Obsoleta'!$Q$9:$Q$202</c:f>
              <c:numCache>
                <c:formatCode>0%</c:formatCode>
                <c:ptCount val="194"/>
                <c:pt idx="0">
                  <c:v>0.85</c:v>
                </c:pt>
                <c:pt idx="1">
                  <c:v>0.98</c:v>
                </c:pt>
                <c:pt idx="2">
                  <c:v>0.89</c:v>
                </c:pt>
                <c:pt idx="3">
                  <c:v>0.96</c:v>
                </c:pt>
                <c:pt idx="4">
                  <c:v>0.86</c:v>
                </c:pt>
                <c:pt idx="5">
                  <c:v>0.97</c:v>
                </c:pt>
                <c:pt idx="6">
                  <c:v>0.9</c:v>
                </c:pt>
                <c:pt idx="7">
                  <c:v>0.9</c:v>
                </c:pt>
                <c:pt idx="8">
                  <c:v>0.86</c:v>
                </c:pt>
                <c:pt idx="9">
                  <c:v>0.82</c:v>
                </c:pt>
                <c:pt idx="10">
                  <c:v>0.78</c:v>
                </c:pt>
                <c:pt idx="11">
                  <c:v>0.8</c:v>
                </c:pt>
                <c:pt idx="12">
                  <c:v>0.93</c:v>
                </c:pt>
                <c:pt idx="13">
                  <c:v>0.82</c:v>
                </c:pt>
                <c:pt idx="14">
                  <c:v>0.88</c:v>
                </c:pt>
                <c:pt idx="15">
                  <c:v>0.84</c:v>
                </c:pt>
                <c:pt idx="20">
                  <c:v>0.85</c:v>
                </c:pt>
                <c:pt idx="33">
                  <c:v>0.85</c:v>
                </c:pt>
                <c:pt idx="37">
                  <c:v>0.85</c:v>
                </c:pt>
                <c:pt idx="49">
                  <c:v>0.85</c:v>
                </c:pt>
                <c:pt idx="61">
                  <c:v>0.85</c:v>
                </c:pt>
                <c:pt idx="82">
                  <c:v>0.85</c:v>
                </c:pt>
                <c:pt idx="92">
                  <c:v>0.85</c:v>
                </c:pt>
                <c:pt idx="148">
                  <c:v>0.85</c:v>
                </c:pt>
                <c:pt idx="156">
                  <c:v>0.85</c:v>
                </c:pt>
                <c:pt idx="170">
                  <c:v>0.85</c:v>
                </c:pt>
                <c:pt idx="173">
                  <c:v>0.85</c:v>
                </c:pt>
                <c:pt idx="178">
                  <c:v>0.85</c:v>
                </c:pt>
                <c:pt idx="187">
                  <c:v>0.85</c:v>
                </c:pt>
                <c:pt idx="188">
                  <c:v>0.85</c:v>
                </c:pt>
                <c:pt idx="193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8-44F9-85BA-9A55F0D0A086}"/>
            </c:ext>
          </c:extLst>
        </c:ser>
        <c:ser>
          <c:idx val="2"/>
          <c:order val="2"/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'Lista de proveedores Obsoleta'!$B$9:$B$202</c:f>
              <c:strCache>
                <c:ptCount val="194"/>
                <c:pt idx="0">
                  <c:v>PIQ-02</c:v>
                </c:pt>
                <c:pt idx="4">
                  <c:v>PIQ-03</c:v>
                </c:pt>
                <c:pt idx="5">
                  <c:v>PIQ-04</c:v>
                </c:pt>
                <c:pt idx="6">
                  <c:v>PIQ-05</c:v>
                </c:pt>
                <c:pt idx="11">
                  <c:v>PIQ-06</c:v>
                </c:pt>
                <c:pt idx="12">
                  <c:v>PIQ-07</c:v>
                </c:pt>
                <c:pt idx="13">
                  <c:v>PIQ-08</c:v>
                </c:pt>
                <c:pt idx="17">
                  <c:v>PIQ-09</c:v>
                </c:pt>
                <c:pt idx="18">
                  <c:v>PIQ-10</c:v>
                </c:pt>
                <c:pt idx="19">
                  <c:v>PIQ-11</c:v>
                </c:pt>
                <c:pt idx="20">
                  <c:v>PIQ-12</c:v>
                </c:pt>
                <c:pt idx="23">
                  <c:v>PIQ-13</c:v>
                </c:pt>
                <c:pt idx="24">
                  <c:v>PIQ-14</c:v>
                </c:pt>
                <c:pt idx="28">
                  <c:v>PIQ-15</c:v>
                </c:pt>
                <c:pt idx="29">
                  <c:v>PIQ-16</c:v>
                </c:pt>
                <c:pt idx="33">
                  <c:v>PIQ-17</c:v>
                </c:pt>
                <c:pt idx="34">
                  <c:v>PIQ-18</c:v>
                </c:pt>
                <c:pt idx="37">
                  <c:v>PIQ-19</c:v>
                </c:pt>
                <c:pt idx="38">
                  <c:v>PIQ-20</c:v>
                </c:pt>
                <c:pt idx="39">
                  <c:v>PIQ-21</c:v>
                </c:pt>
                <c:pt idx="40">
                  <c:v>PIQ-22</c:v>
                </c:pt>
                <c:pt idx="46">
                  <c:v>PIQ-23</c:v>
                </c:pt>
                <c:pt idx="48">
                  <c:v>PIQ-24</c:v>
                </c:pt>
                <c:pt idx="49">
                  <c:v>PIQ-25</c:v>
                </c:pt>
                <c:pt idx="51">
                  <c:v>PIQ-26</c:v>
                </c:pt>
                <c:pt idx="52">
                  <c:v>PIQ-27</c:v>
                </c:pt>
                <c:pt idx="54">
                  <c:v>PIQ-28</c:v>
                </c:pt>
                <c:pt idx="58">
                  <c:v>PIQ-29</c:v>
                </c:pt>
                <c:pt idx="60">
                  <c:v>PIQ-30</c:v>
                </c:pt>
                <c:pt idx="61">
                  <c:v>PIQ-31</c:v>
                </c:pt>
                <c:pt idx="66">
                  <c:v>PIQ-32</c:v>
                </c:pt>
                <c:pt idx="67">
                  <c:v>PIQ-33</c:v>
                </c:pt>
                <c:pt idx="78">
                  <c:v>PIQ-34</c:v>
                </c:pt>
                <c:pt idx="79">
                  <c:v>PIQ-35</c:v>
                </c:pt>
                <c:pt idx="80">
                  <c:v>PIQ-36</c:v>
                </c:pt>
                <c:pt idx="81">
                  <c:v>PIQ-37</c:v>
                </c:pt>
                <c:pt idx="82">
                  <c:v>PIQ-38</c:v>
                </c:pt>
                <c:pt idx="87">
                  <c:v>PIQ-39</c:v>
                </c:pt>
                <c:pt idx="88">
                  <c:v>PIQ-40</c:v>
                </c:pt>
                <c:pt idx="92">
                  <c:v>PIQ-41</c:v>
                </c:pt>
                <c:pt idx="96">
                  <c:v>PIQ-42</c:v>
                </c:pt>
                <c:pt idx="99">
                  <c:v>PIQ-43</c:v>
                </c:pt>
                <c:pt idx="102">
                  <c:v>PIQ-44</c:v>
                </c:pt>
                <c:pt idx="106">
                  <c:v>PIQ-45</c:v>
                </c:pt>
                <c:pt idx="107">
                  <c:v>PIQ-46</c:v>
                </c:pt>
                <c:pt idx="108">
                  <c:v>PIQ-47</c:v>
                </c:pt>
                <c:pt idx="112">
                  <c:v>PIQ-48</c:v>
                </c:pt>
                <c:pt idx="113">
                  <c:v>PIQ-49</c:v>
                </c:pt>
                <c:pt idx="114">
                  <c:v>PIQ-50</c:v>
                </c:pt>
                <c:pt idx="115">
                  <c:v>PIQ-51</c:v>
                </c:pt>
                <c:pt idx="119">
                  <c:v>PIQ-52</c:v>
                </c:pt>
                <c:pt idx="120">
                  <c:v>PIQ-53</c:v>
                </c:pt>
                <c:pt idx="121">
                  <c:v>PIQ-54</c:v>
                </c:pt>
                <c:pt idx="122">
                  <c:v>PIQ-55</c:v>
                </c:pt>
                <c:pt idx="125">
                  <c:v>PIQ-56</c:v>
                </c:pt>
                <c:pt idx="127">
                  <c:v>PIQ-57</c:v>
                </c:pt>
                <c:pt idx="131">
                  <c:v>PIQ-58</c:v>
                </c:pt>
                <c:pt idx="132">
                  <c:v>PIQ-59</c:v>
                </c:pt>
                <c:pt idx="133">
                  <c:v>PIQ-60</c:v>
                </c:pt>
                <c:pt idx="136">
                  <c:v>PIQ-61</c:v>
                </c:pt>
                <c:pt idx="139">
                  <c:v>PIQ-62</c:v>
                </c:pt>
                <c:pt idx="142">
                  <c:v>PIQ-63</c:v>
                </c:pt>
                <c:pt idx="143">
                  <c:v>PIQ-64</c:v>
                </c:pt>
                <c:pt idx="147">
                  <c:v>PIQ-65</c:v>
                </c:pt>
                <c:pt idx="148">
                  <c:v>PIQ-66</c:v>
                </c:pt>
                <c:pt idx="149">
                  <c:v>PIQ-67</c:v>
                </c:pt>
                <c:pt idx="150">
                  <c:v>PIQ-68</c:v>
                </c:pt>
                <c:pt idx="151">
                  <c:v>PIQ-69</c:v>
                </c:pt>
                <c:pt idx="154">
                  <c:v>PIQ-70</c:v>
                </c:pt>
                <c:pt idx="156">
                  <c:v>PIQ-71</c:v>
                </c:pt>
                <c:pt idx="162">
                  <c:v>PIQ-72</c:v>
                </c:pt>
                <c:pt idx="165">
                  <c:v>PIQ-73</c:v>
                </c:pt>
                <c:pt idx="166">
                  <c:v>PIQ-74</c:v>
                </c:pt>
                <c:pt idx="169">
                  <c:v>PIQ-75</c:v>
                </c:pt>
                <c:pt idx="170">
                  <c:v>PIQ-76</c:v>
                </c:pt>
                <c:pt idx="173">
                  <c:v>PIQ-77</c:v>
                </c:pt>
                <c:pt idx="176">
                  <c:v>PIQ-78</c:v>
                </c:pt>
                <c:pt idx="177">
                  <c:v>PIQ-79</c:v>
                </c:pt>
                <c:pt idx="178">
                  <c:v>PIQ-80</c:v>
                </c:pt>
                <c:pt idx="179">
                  <c:v>PIQ-81</c:v>
                </c:pt>
                <c:pt idx="180">
                  <c:v>PIQ-82</c:v>
                </c:pt>
                <c:pt idx="181">
                  <c:v>PIQ-83</c:v>
                </c:pt>
                <c:pt idx="182">
                  <c:v>PIQ-84</c:v>
                </c:pt>
                <c:pt idx="185">
                  <c:v>PIQ-85</c:v>
                </c:pt>
                <c:pt idx="186">
                  <c:v>PIQ-86</c:v>
                </c:pt>
                <c:pt idx="187">
                  <c:v>PIQ-87</c:v>
                </c:pt>
                <c:pt idx="188">
                  <c:v>PIQ-88</c:v>
                </c:pt>
                <c:pt idx="192">
                  <c:v>PIQ-89</c:v>
                </c:pt>
                <c:pt idx="193">
                  <c:v>PIQ-90</c:v>
                </c:pt>
              </c:strCache>
            </c:strRef>
          </c:cat>
          <c:val>
            <c:numRef>
              <c:f>'Lista de proveedores Obsoleta'!$R$9:$R$202</c:f>
              <c:numCache>
                <c:formatCode>General</c:formatCode>
                <c:ptCount val="194"/>
                <c:pt idx="0" formatCode="0%">
                  <c:v>0.75</c:v>
                </c:pt>
                <c:pt idx="20" formatCode="0%">
                  <c:v>0.75</c:v>
                </c:pt>
                <c:pt idx="33" formatCode="0%">
                  <c:v>0.75</c:v>
                </c:pt>
                <c:pt idx="37" formatCode="0%">
                  <c:v>0.75</c:v>
                </c:pt>
                <c:pt idx="49" formatCode="0%">
                  <c:v>0.75</c:v>
                </c:pt>
                <c:pt idx="61" formatCode="0%">
                  <c:v>0.75</c:v>
                </c:pt>
                <c:pt idx="82" formatCode="0%">
                  <c:v>0.75</c:v>
                </c:pt>
                <c:pt idx="92" formatCode="0%">
                  <c:v>0.75</c:v>
                </c:pt>
                <c:pt idx="107">
                  <c:v>0</c:v>
                </c:pt>
                <c:pt idx="148" formatCode="0%">
                  <c:v>0.75</c:v>
                </c:pt>
                <c:pt idx="156" formatCode="0%">
                  <c:v>0.75</c:v>
                </c:pt>
                <c:pt idx="170" formatCode="0%">
                  <c:v>0.75</c:v>
                </c:pt>
                <c:pt idx="173" formatCode="0%">
                  <c:v>0.75</c:v>
                </c:pt>
                <c:pt idx="178" formatCode="0%">
                  <c:v>0.75</c:v>
                </c:pt>
                <c:pt idx="187" formatCode="0%">
                  <c:v>0.75</c:v>
                </c:pt>
                <c:pt idx="188" formatCode="0%">
                  <c:v>0.75</c:v>
                </c:pt>
                <c:pt idx="193" formatCode="0%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8-44F9-85BA-9A55F0D0A08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40065167"/>
        <c:axId val="2140057695"/>
      </c:lineChart>
      <c:catAx>
        <c:axId val="214006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0057695"/>
        <c:crosses val="autoZero"/>
        <c:auto val="1"/>
        <c:lblAlgn val="ctr"/>
        <c:lblOffset val="100"/>
        <c:noMultiLvlLbl val="0"/>
      </c:catAx>
      <c:valAx>
        <c:axId val="2140057695"/>
        <c:scaling>
          <c:orientation val="minMax"/>
          <c:min val="0.7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006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38100</xdr:colOff>
      <xdr:row>0</xdr:row>
      <xdr:rowOff>38100</xdr:rowOff>
    </xdr:from>
    <xdr:ext cx="1394659" cy="546226"/>
    <xdr:pic>
      <xdr:nvPicPr>
        <xdr:cNvPr id="2" name="Imagen 1">
          <a:extLst>
            <a:ext uri="{FF2B5EF4-FFF2-40B4-BE49-F238E27FC236}">
              <a16:creationId xmlns:a16="http://schemas.microsoft.com/office/drawing/2014/main" id="{39A73E64-50C4-4BAA-872B-AC6A651EF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0100" y="38100"/>
          <a:ext cx="1394659" cy="5462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108946</xdr:rowOff>
    </xdr:from>
    <xdr:ext cx="2000250" cy="783409"/>
    <xdr:pic>
      <xdr:nvPicPr>
        <xdr:cNvPr id="2" name="Imagen 1">
          <a:extLst>
            <a:ext uri="{FF2B5EF4-FFF2-40B4-BE49-F238E27FC236}">
              <a16:creationId xmlns:a16="http://schemas.microsoft.com/office/drawing/2014/main" id="{E159704C-EF5E-4AEA-A0C1-BA8913F45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946"/>
          <a:ext cx="2000250" cy="78340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160824</xdr:colOff>
      <xdr:row>28</xdr:row>
      <xdr:rowOff>108270</xdr:rowOff>
    </xdr:from>
    <xdr:to>
      <xdr:col>23</xdr:col>
      <xdr:colOff>619536</xdr:colOff>
      <xdr:row>197</xdr:row>
      <xdr:rowOff>9694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9F6709-858D-4DFC-B4BA-E14035EC3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742498</xdr:colOff>
      <xdr:row>4</xdr:row>
      <xdr:rowOff>8904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F00D75-FC6C-F6F9-0A38-48FB3B4A1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10056" cy="8002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2479</xdr:colOff>
      <xdr:row>4</xdr:row>
      <xdr:rowOff>8904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810693-7AF9-B15A-BFDF-F47287883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10056" cy="8002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52662</xdr:rowOff>
    </xdr:from>
    <xdr:ext cx="2000250" cy="783409"/>
    <xdr:pic>
      <xdr:nvPicPr>
        <xdr:cNvPr id="2" name="Imagen 1">
          <a:extLst>
            <a:ext uri="{FF2B5EF4-FFF2-40B4-BE49-F238E27FC236}">
              <a16:creationId xmlns:a16="http://schemas.microsoft.com/office/drawing/2014/main" id="{26923629-F689-4CDC-92D9-972B4AABD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2662"/>
          <a:ext cx="2000250" cy="783409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chuminap5@hotmail.com" TargetMode="External"/><Relationship Id="rId18" Type="http://schemas.openxmlformats.org/officeDocument/2006/relationships/hyperlink" Target="mailto:cromo@omnisource.com" TargetMode="External"/><Relationship Id="rId26" Type="http://schemas.openxmlformats.org/officeDocument/2006/relationships/hyperlink" Target="mailto:claudia@ipi.mx" TargetMode="External"/><Relationship Id="rId39" Type="http://schemas.openxmlformats.org/officeDocument/2006/relationships/hyperlink" Target="mailto:jomifrasadecv@gmail.com" TargetMode="External"/><Relationship Id="rId21" Type="http://schemas.openxmlformats.org/officeDocument/2006/relationships/hyperlink" Target="mailto:prometal_lb@hotmail.com" TargetMode="External"/><Relationship Id="rId34" Type="http://schemas.openxmlformats.org/officeDocument/2006/relationships/hyperlink" Target="mailto:vtastec@castmet.com.mx" TargetMode="External"/><Relationship Id="rId42" Type="http://schemas.openxmlformats.org/officeDocument/2006/relationships/hyperlink" Target="mailto:isacgranadosgtz@gmail.com" TargetMode="External"/><Relationship Id="rId47" Type="http://schemas.openxmlformats.org/officeDocument/2006/relationships/printerSettings" Target="../printerSettings/printerSettings3.bin"/><Relationship Id="rId7" Type="http://schemas.openxmlformats.org/officeDocument/2006/relationships/hyperlink" Target="../../Users/calid/AppData/Local/Temp/AppData/AppData/IQ%20Dropbox/IQ%20ALLOY%20MEXICO/COMERCIAL/COMPRAS/PROVEEDORES/Lista%20de%20insumos/KAIZEN/Escoria%20ADC12.jpg" TargetMode="External"/><Relationship Id="rId2" Type="http://schemas.openxmlformats.org/officeDocument/2006/relationships/hyperlink" Target="../../Users/calid/AppData/Local/Temp/AppData/AppData/IQ%20Dropbox/IQ%20ALLOY%20MEXICO/COMERCIAL/COMPRAS/PROVEEDORES/Lista%20de%20insumos/TROMAP/Rebaba%20356.jpeg" TargetMode="External"/><Relationship Id="rId16" Type="http://schemas.openxmlformats.org/officeDocument/2006/relationships/hyperlink" Target="mailto:priscila.lira@cimetal.com.mx" TargetMode="External"/><Relationship Id="rId29" Type="http://schemas.openxmlformats.org/officeDocument/2006/relationships/hyperlink" Target="mailto:vperez@possehl.com.mx" TargetMode="External"/><Relationship Id="rId1" Type="http://schemas.openxmlformats.org/officeDocument/2006/relationships/hyperlink" Target="mailto:compras1@remeta.com.mx" TargetMode="External"/><Relationship Id="rId6" Type="http://schemas.openxmlformats.org/officeDocument/2006/relationships/hyperlink" Target="mailto:adriana.rocha@faistlightmetals.com" TargetMode="External"/><Relationship Id="rId11" Type="http://schemas.openxmlformats.org/officeDocument/2006/relationships/hyperlink" Target="../../Users/calid/AppData/Local/Temp/AppData/AppData/IQ%20Dropbox/IQ%20ALLOY%20MEXICO/COMERCIAL/COMPRAS/PROVEEDORES/Lista%20de%20insumos/KAIZEN/Rebaba%20ADC12.jpeg" TargetMode="External"/><Relationship Id="rId24" Type="http://schemas.openxmlformats.org/officeDocument/2006/relationships/hyperlink" Target="mailto:comer-alloysgusanz@hotmail.com" TargetMode="External"/><Relationship Id="rId32" Type="http://schemas.openxmlformats.org/officeDocument/2006/relationships/hyperlink" Target="mailto:lmarcos@rushsalt.com" TargetMode="External"/><Relationship Id="rId37" Type="http://schemas.openxmlformats.org/officeDocument/2006/relationships/hyperlink" Target="mailto:antonio.vazquez@hihomexico.com.mx" TargetMode="External"/><Relationship Id="rId40" Type="http://schemas.openxmlformats.org/officeDocument/2006/relationships/hyperlink" Target="mailto:zusan9026@gmail.com" TargetMode="External"/><Relationship Id="rId45" Type="http://schemas.openxmlformats.org/officeDocument/2006/relationships/hyperlink" Target="mailto:dmm900203@icloud.com" TargetMode="External"/><Relationship Id="rId5" Type="http://schemas.openxmlformats.org/officeDocument/2006/relationships/hyperlink" Target="../../Users/calid/AppData/Local/Temp/AppData/AppData/IQ%20Dropbox/IQ%20ALLOY%20MEXICO/COMERCIAL/COMPRAS/PROVEEDORES/Lista%20de%20insumos/TROMAP/RI%20ADC12.jpeg" TargetMode="External"/><Relationship Id="rId15" Type="http://schemas.openxmlformats.org/officeDocument/2006/relationships/hyperlink" Target="mailto:recuperadoraddr@yahoo.com" TargetMode="External"/><Relationship Id="rId23" Type="http://schemas.openxmlformats.org/officeDocument/2006/relationships/hyperlink" Target="mailto:compras_69@outlook.es" TargetMode="External"/><Relationship Id="rId28" Type="http://schemas.openxmlformats.org/officeDocument/2006/relationships/hyperlink" Target="mailto:altec.quimicos59@gmail.com" TargetMode="External"/><Relationship Id="rId36" Type="http://schemas.openxmlformats.org/officeDocument/2006/relationships/hyperlink" Target="mailto:alejandra.plata@sandhar.mx" TargetMode="External"/><Relationship Id="rId10" Type="http://schemas.openxmlformats.org/officeDocument/2006/relationships/hyperlink" Target="../../Users/calid/AppData/Local/Temp/AppData/AppData/IQ%20Dropbox/IQ%20ALLOY%20MEXICO/COMERCIAL/COMPRAS/PROVEEDORES/Lista%20de%20insumos/KAIZEN/Flash-Cascarilla.jpeg" TargetMode="External"/><Relationship Id="rId19" Type="http://schemas.openxmlformats.org/officeDocument/2006/relationships/hyperlink" Target="mailto:luis.diaz@vulcahierro.com" TargetMode="External"/><Relationship Id="rId31" Type="http://schemas.openxmlformats.org/officeDocument/2006/relationships/hyperlink" Target="mailto:a.rodriguez@hoesch-metallurgie.com" TargetMode="External"/><Relationship Id="rId44" Type="http://schemas.openxmlformats.org/officeDocument/2006/relationships/hyperlink" Target="mailto:jsauceda@wilkinsoniron.com" TargetMode="External"/><Relationship Id="rId4" Type="http://schemas.openxmlformats.org/officeDocument/2006/relationships/hyperlink" Target="../../Users/calid/AppData/Local/Temp/AppData/AppData/IQ%20Dropbox/IQ%20ALLOY%20MEXICO/COMERCIAL/COMPRAS/PROVEEDORES/Lista%20de%20insumos/TROMAP/RI%20356.jpeg" TargetMode="External"/><Relationship Id="rId9" Type="http://schemas.openxmlformats.org/officeDocument/2006/relationships/hyperlink" Target="../../Users/calid/AppData/Local/Temp/AppData/AppData/IQ%20Dropbox/IQ%20ALLOY%20MEXICO/COMERCIAL/COMPRAS/PROVEEDORES/Lista%20de%20insumos/KAIZEN/Macizo%20Limpio.jpg" TargetMode="External"/><Relationship Id="rId14" Type="http://schemas.openxmlformats.org/officeDocument/2006/relationships/hyperlink" Target="mailto:ocatone@gmail.com" TargetMode="External"/><Relationship Id="rId22" Type="http://schemas.openxmlformats.org/officeDocument/2006/relationships/hyperlink" Target="mailto:recuperadoradelvalle@gmail.com" TargetMode="External"/><Relationship Id="rId27" Type="http://schemas.openxmlformats.org/officeDocument/2006/relationships/hyperlink" Target="mailto:hectorhugovigil@asoalloy.com.mx" TargetMode="External"/><Relationship Id="rId30" Type="http://schemas.openxmlformats.org/officeDocument/2006/relationships/hyperlink" Target="mailto:vperez@possehl.com.mx" TargetMode="External"/><Relationship Id="rId35" Type="http://schemas.openxmlformats.org/officeDocument/2006/relationships/hyperlink" Target="mailto:administracion@metalrivex.com" TargetMode="External"/><Relationship Id="rId43" Type="http://schemas.openxmlformats.org/officeDocument/2006/relationships/hyperlink" Target="mailto:contacto.recycle.mexico@gmail.com" TargetMode="External"/><Relationship Id="rId48" Type="http://schemas.openxmlformats.org/officeDocument/2006/relationships/drawing" Target="../drawings/drawing3.xml"/><Relationship Id="rId8" Type="http://schemas.openxmlformats.org/officeDocument/2006/relationships/hyperlink" Target="../../Users/calid/AppData/Local/Temp/AppData/AppData/IQ%20Dropbox/IQ%20ALLOY%20MEXICO/COMERCIAL/COMPRAS/PROVEEDORES/Lista%20de%20insumos/KAIZEN/Piedra%20ADC12.jpg" TargetMode="External"/><Relationship Id="rId3" Type="http://schemas.openxmlformats.org/officeDocument/2006/relationships/hyperlink" Target="../../Users/calid/AppData/Local/Temp/AppData/AppData/IQ%20Dropbox/IQ%20ALLOY%20MEXICO/COMERCIAL/COMPRAS/PROVEEDORES/Lista%20de%20insumos/TROMAP/Rebaba%20319.jpeg" TargetMode="External"/><Relationship Id="rId12" Type="http://schemas.openxmlformats.org/officeDocument/2006/relationships/hyperlink" Target="mailto:emunoz@kaizenmexicana.com" TargetMode="External"/><Relationship Id="rId17" Type="http://schemas.openxmlformats.org/officeDocument/2006/relationships/hyperlink" Target="mailto:elvia.ramirez@nedec.com'" TargetMode="External"/><Relationship Id="rId25" Type="http://schemas.openxmlformats.org/officeDocument/2006/relationships/hyperlink" Target="mailto:nuria@ecosolucionesbajio.com" TargetMode="External"/><Relationship Id="rId33" Type="http://schemas.openxmlformats.org/officeDocument/2006/relationships/hyperlink" Target="mailto:compras_69@outlook.es" TargetMode="External"/><Relationship Id="rId38" Type="http://schemas.openxmlformats.org/officeDocument/2006/relationships/hyperlink" Target="mailto:REMAP.ZAC@GMAIL.COM" TargetMode="External"/><Relationship Id="rId46" Type="http://schemas.openxmlformats.org/officeDocument/2006/relationships/hyperlink" Target="mailto:a.rodriguez@hoesch-metallurgie.com" TargetMode="External"/><Relationship Id="rId20" Type="http://schemas.openxmlformats.org/officeDocument/2006/relationships/hyperlink" Target="mailto:mchavez@wfts.mx" TargetMode="External"/><Relationship Id="rId41" Type="http://schemas.openxmlformats.org/officeDocument/2006/relationships/hyperlink" Target="mailto:nonferrousmetaltrading@gmai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ltec.quimicos59@gmail.com" TargetMode="External"/><Relationship Id="rId3" Type="http://schemas.openxmlformats.org/officeDocument/2006/relationships/hyperlink" Target="mailto:lmarcos@rushsalt.com" TargetMode="External"/><Relationship Id="rId7" Type="http://schemas.openxmlformats.org/officeDocument/2006/relationships/hyperlink" Target="mailto:vperez@possehl.com.mx" TargetMode="External"/><Relationship Id="rId2" Type="http://schemas.openxmlformats.org/officeDocument/2006/relationships/hyperlink" Target="mailto:a.rodriguez@hoesch-metallurgie.com" TargetMode="External"/><Relationship Id="rId1" Type="http://schemas.openxmlformats.org/officeDocument/2006/relationships/hyperlink" Target="mailto:hectorhugovigil@asoalloy.com.mx" TargetMode="External"/><Relationship Id="rId6" Type="http://schemas.openxmlformats.org/officeDocument/2006/relationships/hyperlink" Target="mailto:vperez@possehl.com.mx" TargetMode="External"/><Relationship Id="rId5" Type="http://schemas.openxmlformats.org/officeDocument/2006/relationships/hyperlink" Target="mailto:a.rodriguez@hoesch-metallurgie.com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mailto:vtastec@castmet.com.mx" TargetMode="External"/><Relationship Id="rId9" Type="http://schemas.openxmlformats.org/officeDocument/2006/relationships/hyperlink" Target="mailto:claudia@ipi.m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mailto:administracion@metalrivex.com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mailto:compras_69@outlook.es" TargetMode="External"/><Relationship Id="rId1" Type="http://schemas.openxmlformats.org/officeDocument/2006/relationships/hyperlink" Target="mailto:luis.diaz@vulcahierro.com" TargetMode="External"/><Relationship Id="rId6" Type="http://schemas.openxmlformats.org/officeDocument/2006/relationships/hyperlink" Target="mailto:a.rodriguez@hoesch-metallurgie.com" TargetMode="External"/><Relationship Id="rId5" Type="http://schemas.openxmlformats.org/officeDocument/2006/relationships/hyperlink" Target="mailto:dmm900203@icloud.com" TargetMode="External"/><Relationship Id="rId4" Type="http://schemas.openxmlformats.org/officeDocument/2006/relationships/hyperlink" Target="mailto:REMAP.ZAC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jsauceda@wilkinsoniron.com" TargetMode="External"/><Relationship Id="rId13" Type="http://schemas.openxmlformats.org/officeDocument/2006/relationships/printerSettings" Target="../printerSettings/printerSettings6.bin"/><Relationship Id="rId3" Type="http://schemas.openxmlformats.org/officeDocument/2006/relationships/hyperlink" Target="mailto:REMAP.ZAC@GMAIL.COM" TargetMode="External"/><Relationship Id="rId7" Type="http://schemas.openxmlformats.org/officeDocument/2006/relationships/hyperlink" Target="mailto:administracion@metalrivex.com" TargetMode="External"/><Relationship Id="rId12" Type="http://schemas.openxmlformats.org/officeDocument/2006/relationships/hyperlink" Target="mailto:a.rodriguez@hoesch-metallurgie.com" TargetMode="External"/><Relationship Id="rId2" Type="http://schemas.openxmlformats.org/officeDocument/2006/relationships/hyperlink" Target="mailto:antonio.vazquez@hihomexico.com.mx" TargetMode="External"/><Relationship Id="rId1" Type="http://schemas.openxmlformats.org/officeDocument/2006/relationships/hyperlink" Target="mailto:chuminap5@hotmail.com" TargetMode="External"/><Relationship Id="rId6" Type="http://schemas.openxmlformats.org/officeDocument/2006/relationships/hyperlink" Target="mailto:isacgranadosgtz@gmail.com" TargetMode="External"/><Relationship Id="rId11" Type="http://schemas.openxmlformats.org/officeDocument/2006/relationships/hyperlink" Target="mailto:contacto.recycle.mexico@gmail.com" TargetMode="External"/><Relationship Id="rId5" Type="http://schemas.openxmlformats.org/officeDocument/2006/relationships/hyperlink" Target="mailto:nonferrousmetaltrading@gmail.com" TargetMode="External"/><Relationship Id="rId10" Type="http://schemas.openxmlformats.org/officeDocument/2006/relationships/hyperlink" Target="mailto:elvia.ramirez@nedec.com'" TargetMode="External"/><Relationship Id="rId4" Type="http://schemas.openxmlformats.org/officeDocument/2006/relationships/hyperlink" Target="mailto:jomifrasadecv@gmail.com" TargetMode="External"/><Relationship Id="rId9" Type="http://schemas.openxmlformats.org/officeDocument/2006/relationships/hyperlink" Target="mailto:zusan9026@gmail.com" TargetMode="External"/><Relationship Id="rId14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110EE-08E1-45C2-9681-82C5046C72DF}">
  <sheetPr>
    <pageSetUpPr fitToPage="1"/>
  </sheetPr>
  <dimension ref="A1:F112"/>
  <sheetViews>
    <sheetView tabSelected="1" view="pageBreakPreview" topLeftCell="A97" zoomScale="85" zoomScaleNormal="100" zoomScaleSheetLayoutView="85" workbookViewId="0">
      <selection activeCell="E112" sqref="B83:E112"/>
    </sheetView>
  </sheetViews>
  <sheetFormatPr baseColWidth="10" defaultRowHeight="14.4"/>
  <cols>
    <col min="1" max="1" width="20.44140625" style="5" customWidth="1"/>
    <col min="2" max="2" width="31" style="10" bestFit="1" customWidth="1"/>
    <col min="3" max="3" width="54.44140625" style="5" customWidth="1"/>
    <col min="4" max="4" width="21.44140625" style="19" customWidth="1"/>
    <col min="5" max="5" width="25.44140625" customWidth="1"/>
  </cols>
  <sheetData>
    <row r="1" spans="1:6" ht="15.75" customHeight="1">
      <c r="A1" s="1" t="s">
        <v>0</v>
      </c>
      <c r="B1" s="289" t="s">
        <v>6</v>
      </c>
      <c r="C1" s="290"/>
      <c r="D1" s="15" t="s">
        <v>240</v>
      </c>
      <c r="E1" s="291"/>
      <c r="F1" s="4"/>
    </row>
    <row r="2" spans="1:6" ht="15.6">
      <c r="A2" s="2" t="s">
        <v>1</v>
      </c>
      <c r="B2" s="287" t="s">
        <v>236</v>
      </c>
      <c r="C2" s="288"/>
      <c r="D2" s="16" t="s">
        <v>190</v>
      </c>
      <c r="E2" s="292"/>
      <c r="F2" s="4"/>
    </row>
    <row r="3" spans="1:6" ht="16.2" thickBot="1">
      <c r="A3" s="3" t="s">
        <v>2</v>
      </c>
      <c r="B3" s="285" t="s">
        <v>237</v>
      </c>
      <c r="C3" s="286"/>
      <c r="D3" s="17" t="s">
        <v>612</v>
      </c>
      <c r="E3" s="293"/>
      <c r="F3" s="4"/>
    </row>
    <row r="4" spans="1:6" ht="18">
      <c r="A4" s="11" t="s">
        <v>5</v>
      </c>
      <c r="B4" s="12" t="s">
        <v>3</v>
      </c>
      <c r="C4" s="13" t="s">
        <v>238</v>
      </c>
      <c r="D4" s="13" t="s">
        <v>239</v>
      </c>
      <c r="E4" s="14" t="s">
        <v>4</v>
      </c>
    </row>
    <row r="5" spans="1:6">
      <c r="A5" s="23">
        <v>1</v>
      </c>
      <c r="B5" s="20" t="s">
        <v>64</v>
      </c>
      <c r="C5" s="21" t="s">
        <v>192</v>
      </c>
      <c r="D5" s="22" t="s">
        <v>131</v>
      </c>
      <c r="E5" s="8" t="s">
        <v>241</v>
      </c>
    </row>
    <row r="6" spans="1:6">
      <c r="A6" s="23">
        <f>+A5+1</f>
        <v>2</v>
      </c>
      <c r="B6" s="20" t="s">
        <v>65</v>
      </c>
      <c r="C6" s="21" t="s">
        <v>7</v>
      </c>
      <c r="D6" s="22" t="s">
        <v>132</v>
      </c>
      <c r="E6" s="8" t="s">
        <v>241</v>
      </c>
    </row>
    <row r="7" spans="1:6">
      <c r="A7" s="23">
        <f t="shared" ref="A7:A70" si="0">+A6+1</f>
        <v>3</v>
      </c>
      <c r="B7" s="20" t="s">
        <v>66</v>
      </c>
      <c r="C7" s="21" t="s">
        <v>8</v>
      </c>
      <c r="D7" s="22" t="s">
        <v>133</v>
      </c>
      <c r="E7" s="8" t="s">
        <v>242</v>
      </c>
    </row>
    <row r="8" spans="1:6">
      <c r="A8" s="23">
        <f t="shared" si="0"/>
        <v>4</v>
      </c>
      <c r="B8" s="20" t="s">
        <v>67</v>
      </c>
      <c r="C8" s="21" t="s">
        <v>9</v>
      </c>
      <c r="D8" s="22" t="s">
        <v>133</v>
      </c>
      <c r="E8" s="8" t="s">
        <v>242</v>
      </c>
    </row>
    <row r="9" spans="1:6">
      <c r="A9" s="23">
        <f t="shared" si="0"/>
        <v>5</v>
      </c>
      <c r="B9" s="20" t="s">
        <v>68</v>
      </c>
      <c r="C9" s="21" t="s">
        <v>10</v>
      </c>
      <c r="D9" s="22" t="s">
        <v>131</v>
      </c>
      <c r="E9" s="8" t="s">
        <v>242</v>
      </c>
    </row>
    <row r="10" spans="1:6">
      <c r="A10" s="23">
        <f t="shared" si="0"/>
        <v>6</v>
      </c>
      <c r="B10" s="20" t="s">
        <v>69</v>
      </c>
      <c r="C10" s="21" t="s">
        <v>11</v>
      </c>
      <c r="D10" s="22" t="s">
        <v>132</v>
      </c>
      <c r="E10" s="8" t="s">
        <v>242</v>
      </c>
    </row>
    <row r="11" spans="1:6">
      <c r="A11" s="23">
        <f t="shared" si="0"/>
        <v>7</v>
      </c>
      <c r="B11" s="20" t="s">
        <v>70</v>
      </c>
      <c r="C11" s="21" t="s">
        <v>12</v>
      </c>
      <c r="D11" s="22" t="s">
        <v>131</v>
      </c>
      <c r="E11" s="8" t="s">
        <v>242</v>
      </c>
    </row>
    <row r="12" spans="1:6">
      <c r="A12" s="23">
        <f t="shared" si="0"/>
        <v>8</v>
      </c>
      <c r="B12" s="20" t="s">
        <v>71</v>
      </c>
      <c r="C12" s="21" t="s">
        <v>13</v>
      </c>
      <c r="D12" s="22" t="s">
        <v>131</v>
      </c>
      <c r="E12" s="8" t="s">
        <v>242</v>
      </c>
    </row>
    <row r="13" spans="1:6">
      <c r="A13" s="23">
        <f t="shared" si="0"/>
        <v>9</v>
      </c>
      <c r="B13" s="20" t="s">
        <v>72</v>
      </c>
      <c r="C13" s="21" t="s">
        <v>14</v>
      </c>
      <c r="D13" s="22" t="s">
        <v>131</v>
      </c>
      <c r="E13" s="8" t="s">
        <v>241</v>
      </c>
    </row>
    <row r="14" spans="1:6">
      <c r="A14" s="23">
        <f t="shared" si="0"/>
        <v>10</v>
      </c>
      <c r="B14" s="20" t="s">
        <v>73</v>
      </c>
      <c r="C14" s="21" t="s">
        <v>15</v>
      </c>
      <c r="D14" s="22" t="s">
        <v>133</v>
      </c>
      <c r="E14" s="8" t="s">
        <v>242</v>
      </c>
    </row>
    <row r="15" spans="1:6">
      <c r="A15" s="23">
        <f t="shared" si="0"/>
        <v>11</v>
      </c>
      <c r="B15" s="20" t="s">
        <v>74</v>
      </c>
      <c r="C15" s="21" t="s">
        <v>16</v>
      </c>
      <c r="D15" s="22" t="s">
        <v>131</v>
      </c>
      <c r="E15" s="8" t="s">
        <v>242</v>
      </c>
    </row>
    <row r="16" spans="1:6">
      <c r="A16" s="23">
        <f t="shared" si="0"/>
        <v>12</v>
      </c>
      <c r="B16" s="20" t="s">
        <v>75</v>
      </c>
      <c r="C16" s="21" t="s">
        <v>17</v>
      </c>
      <c r="D16" s="22" t="s">
        <v>131</v>
      </c>
      <c r="E16" s="8" t="s">
        <v>241</v>
      </c>
    </row>
    <row r="17" spans="1:5">
      <c r="A17" s="23">
        <f t="shared" si="0"/>
        <v>13</v>
      </c>
      <c r="B17" s="20" t="s">
        <v>76</v>
      </c>
      <c r="C17" s="21" t="s">
        <v>18</v>
      </c>
      <c r="D17" s="22" t="s">
        <v>131</v>
      </c>
      <c r="E17" s="8" t="s">
        <v>241</v>
      </c>
    </row>
    <row r="18" spans="1:5">
      <c r="A18" s="23">
        <f t="shared" si="0"/>
        <v>14</v>
      </c>
      <c r="B18" s="20" t="s">
        <v>77</v>
      </c>
      <c r="C18" s="21" t="s">
        <v>19</v>
      </c>
      <c r="D18" s="22" t="s">
        <v>133</v>
      </c>
      <c r="E18" s="8" t="s">
        <v>242</v>
      </c>
    </row>
    <row r="19" spans="1:5">
      <c r="A19" s="23">
        <f t="shared" si="0"/>
        <v>15</v>
      </c>
      <c r="B19" s="20" t="s">
        <v>78</v>
      </c>
      <c r="C19" s="21" t="s">
        <v>20</v>
      </c>
      <c r="D19" s="22" t="s">
        <v>131</v>
      </c>
      <c r="E19" s="8" t="s">
        <v>241</v>
      </c>
    </row>
    <row r="20" spans="1:5">
      <c r="A20" s="23">
        <f t="shared" si="0"/>
        <v>16</v>
      </c>
      <c r="B20" s="20" t="s">
        <v>79</v>
      </c>
      <c r="C20" s="21" t="s">
        <v>21</v>
      </c>
      <c r="D20" s="22" t="s">
        <v>131</v>
      </c>
      <c r="E20" s="8" t="s">
        <v>242</v>
      </c>
    </row>
    <row r="21" spans="1:5">
      <c r="A21" s="23">
        <f t="shared" si="0"/>
        <v>17</v>
      </c>
      <c r="B21" s="20" t="s">
        <v>80</v>
      </c>
      <c r="C21" s="21" t="s">
        <v>22</v>
      </c>
      <c r="D21" s="22" t="s">
        <v>131</v>
      </c>
      <c r="E21" s="8" t="s">
        <v>241</v>
      </c>
    </row>
    <row r="22" spans="1:5">
      <c r="A22" s="23">
        <f t="shared" si="0"/>
        <v>18</v>
      </c>
      <c r="B22" s="20" t="s">
        <v>81</v>
      </c>
      <c r="C22" s="21" t="s">
        <v>23</v>
      </c>
      <c r="D22" s="22" t="s">
        <v>132</v>
      </c>
      <c r="E22" s="8" t="s">
        <v>241</v>
      </c>
    </row>
    <row r="23" spans="1:5">
      <c r="A23" s="23">
        <f t="shared" si="0"/>
        <v>19</v>
      </c>
      <c r="B23" s="20" t="s">
        <v>82</v>
      </c>
      <c r="C23" s="21" t="s">
        <v>24</v>
      </c>
      <c r="D23" s="22" t="s">
        <v>132</v>
      </c>
      <c r="E23" s="8" t="s">
        <v>241</v>
      </c>
    </row>
    <row r="24" spans="1:5">
      <c r="A24" s="23">
        <f t="shared" si="0"/>
        <v>20</v>
      </c>
      <c r="B24" s="20" t="s">
        <v>83</v>
      </c>
      <c r="C24" s="21" t="s">
        <v>25</v>
      </c>
      <c r="D24" s="22" t="s">
        <v>133</v>
      </c>
      <c r="E24" s="8" t="s">
        <v>242</v>
      </c>
    </row>
    <row r="25" spans="1:5">
      <c r="A25" s="23">
        <f t="shared" si="0"/>
        <v>21</v>
      </c>
      <c r="B25" s="20" t="s">
        <v>84</v>
      </c>
      <c r="C25" s="21" t="s">
        <v>26</v>
      </c>
      <c r="D25" s="22" t="s">
        <v>131</v>
      </c>
      <c r="E25" s="8" t="s">
        <v>242</v>
      </c>
    </row>
    <row r="26" spans="1:5">
      <c r="A26" s="23">
        <f t="shared" si="0"/>
        <v>22</v>
      </c>
      <c r="B26" s="20" t="s">
        <v>85</v>
      </c>
      <c r="C26" s="21" t="s">
        <v>27</v>
      </c>
      <c r="D26" s="22" t="s">
        <v>131</v>
      </c>
      <c r="E26" s="8" t="s">
        <v>242</v>
      </c>
    </row>
    <row r="27" spans="1:5">
      <c r="A27" s="23">
        <f t="shared" si="0"/>
        <v>23</v>
      </c>
      <c r="B27" s="20" t="s">
        <v>86</v>
      </c>
      <c r="C27" s="21" t="s">
        <v>28</v>
      </c>
      <c r="D27" s="22" t="s">
        <v>131</v>
      </c>
      <c r="E27" s="8" t="s">
        <v>242</v>
      </c>
    </row>
    <row r="28" spans="1:5">
      <c r="A28" s="23">
        <f t="shared" si="0"/>
        <v>24</v>
      </c>
      <c r="B28" s="20" t="s">
        <v>87</v>
      </c>
      <c r="C28" s="21" t="s">
        <v>29</v>
      </c>
      <c r="D28" s="22" t="s">
        <v>131</v>
      </c>
      <c r="E28" s="8" t="s">
        <v>242</v>
      </c>
    </row>
    <row r="29" spans="1:5">
      <c r="A29" s="23">
        <f t="shared" si="0"/>
        <v>25</v>
      </c>
      <c r="B29" s="20" t="s">
        <v>88</v>
      </c>
      <c r="C29" s="21" t="s">
        <v>30</v>
      </c>
      <c r="D29" s="22" t="s">
        <v>133</v>
      </c>
      <c r="E29" s="8" t="s">
        <v>241</v>
      </c>
    </row>
    <row r="30" spans="1:5">
      <c r="A30" s="23">
        <f t="shared" si="0"/>
        <v>26</v>
      </c>
      <c r="B30" s="20" t="s">
        <v>89</v>
      </c>
      <c r="C30" s="21" t="s">
        <v>31</v>
      </c>
      <c r="D30" s="22" t="s">
        <v>131</v>
      </c>
      <c r="E30" s="8" t="s">
        <v>242</v>
      </c>
    </row>
    <row r="31" spans="1:5">
      <c r="A31" s="23">
        <f t="shared" si="0"/>
        <v>27</v>
      </c>
      <c r="B31" s="20" t="s">
        <v>90</v>
      </c>
      <c r="C31" s="21" t="s">
        <v>32</v>
      </c>
      <c r="D31" s="22" t="s">
        <v>131</v>
      </c>
      <c r="E31" s="8" t="s">
        <v>242</v>
      </c>
    </row>
    <row r="32" spans="1:5">
      <c r="A32" s="23">
        <f t="shared" si="0"/>
        <v>28</v>
      </c>
      <c r="B32" s="20" t="s">
        <v>91</v>
      </c>
      <c r="C32" s="21" t="s">
        <v>33</v>
      </c>
      <c r="D32" s="22" t="s">
        <v>131</v>
      </c>
      <c r="E32" s="8" t="s">
        <v>242</v>
      </c>
    </row>
    <row r="33" spans="1:5">
      <c r="A33" s="23">
        <f t="shared" si="0"/>
        <v>29</v>
      </c>
      <c r="B33" s="20" t="s">
        <v>92</v>
      </c>
      <c r="C33" s="21" t="s">
        <v>34</v>
      </c>
      <c r="D33" s="22" t="s">
        <v>131</v>
      </c>
      <c r="E33" s="8" t="s">
        <v>242</v>
      </c>
    </row>
    <row r="34" spans="1:5">
      <c r="A34" s="23">
        <f t="shared" si="0"/>
        <v>30</v>
      </c>
      <c r="B34" s="20" t="s">
        <v>93</v>
      </c>
      <c r="C34" s="21" t="s">
        <v>35</v>
      </c>
      <c r="D34" s="22" t="s">
        <v>131</v>
      </c>
      <c r="E34" s="8" t="s">
        <v>242</v>
      </c>
    </row>
    <row r="35" spans="1:5">
      <c r="A35" s="23">
        <f t="shared" si="0"/>
        <v>31</v>
      </c>
      <c r="B35" s="20" t="s">
        <v>94</v>
      </c>
      <c r="C35" s="21" t="s">
        <v>36</v>
      </c>
      <c r="D35" s="22" t="s">
        <v>131</v>
      </c>
      <c r="E35" s="8" t="s">
        <v>241</v>
      </c>
    </row>
    <row r="36" spans="1:5">
      <c r="A36" s="23">
        <f t="shared" si="0"/>
        <v>32</v>
      </c>
      <c r="B36" s="20" t="s">
        <v>95</v>
      </c>
      <c r="C36" s="21" t="s">
        <v>37</v>
      </c>
      <c r="D36" s="22" t="s">
        <v>133</v>
      </c>
      <c r="E36" s="8" t="s">
        <v>242</v>
      </c>
    </row>
    <row r="37" spans="1:5">
      <c r="A37" s="23">
        <f t="shared" si="0"/>
        <v>33</v>
      </c>
      <c r="B37" s="20" t="s">
        <v>96</v>
      </c>
      <c r="C37" s="21" t="s">
        <v>38</v>
      </c>
      <c r="D37" s="22" t="s">
        <v>131</v>
      </c>
      <c r="E37" s="8" t="s">
        <v>241</v>
      </c>
    </row>
    <row r="38" spans="1:5">
      <c r="A38" s="23">
        <f t="shared" si="0"/>
        <v>34</v>
      </c>
      <c r="B38" s="20" t="s">
        <v>97</v>
      </c>
      <c r="C38" s="21" t="s">
        <v>39</v>
      </c>
      <c r="D38" s="22" t="s">
        <v>133</v>
      </c>
      <c r="E38" s="8" t="s">
        <v>242</v>
      </c>
    </row>
    <row r="39" spans="1:5">
      <c r="A39" s="23">
        <f t="shared" si="0"/>
        <v>35</v>
      </c>
      <c r="B39" s="20" t="s">
        <v>98</v>
      </c>
      <c r="C39" s="21" t="s">
        <v>40</v>
      </c>
      <c r="D39" s="22" t="s">
        <v>132</v>
      </c>
      <c r="E39" s="8" t="s">
        <v>242</v>
      </c>
    </row>
    <row r="40" spans="1:5">
      <c r="A40" s="23">
        <f t="shared" si="0"/>
        <v>36</v>
      </c>
      <c r="B40" s="20" t="s">
        <v>99</v>
      </c>
      <c r="C40" s="21" t="s">
        <v>41</v>
      </c>
      <c r="D40" s="22" t="s">
        <v>133</v>
      </c>
      <c r="E40" s="8" t="s">
        <v>242</v>
      </c>
    </row>
    <row r="41" spans="1:5">
      <c r="A41" s="23">
        <f t="shared" si="0"/>
        <v>37</v>
      </c>
      <c r="B41" s="20" t="s">
        <v>100</v>
      </c>
      <c r="C41" s="21" t="s">
        <v>42</v>
      </c>
      <c r="D41" s="22" t="s">
        <v>131</v>
      </c>
      <c r="E41" s="8" t="s">
        <v>242</v>
      </c>
    </row>
    <row r="42" spans="1:5">
      <c r="A42" s="23">
        <f t="shared" si="0"/>
        <v>38</v>
      </c>
      <c r="B42" s="20" t="s">
        <v>101</v>
      </c>
      <c r="C42" s="21" t="s">
        <v>43</v>
      </c>
      <c r="D42" s="22" t="s">
        <v>133</v>
      </c>
      <c r="E42" s="8" t="s">
        <v>241</v>
      </c>
    </row>
    <row r="43" spans="1:5">
      <c r="A43" s="23">
        <f t="shared" si="0"/>
        <v>39</v>
      </c>
      <c r="B43" s="20" t="s">
        <v>102</v>
      </c>
      <c r="C43" s="21" t="s">
        <v>44</v>
      </c>
      <c r="D43" s="22" t="s">
        <v>133</v>
      </c>
      <c r="E43" s="8" t="s">
        <v>242</v>
      </c>
    </row>
    <row r="44" spans="1:5">
      <c r="A44" s="23">
        <f t="shared" si="0"/>
        <v>40</v>
      </c>
      <c r="B44" s="20" t="s">
        <v>103</v>
      </c>
      <c r="C44" s="21" t="s">
        <v>45</v>
      </c>
      <c r="D44" s="22" t="s">
        <v>133</v>
      </c>
      <c r="E44" s="8" t="s">
        <v>241</v>
      </c>
    </row>
    <row r="45" spans="1:5">
      <c r="A45" s="23">
        <f t="shared" si="0"/>
        <v>41</v>
      </c>
      <c r="B45" s="20" t="s">
        <v>104</v>
      </c>
      <c r="C45" s="21" t="s">
        <v>46</v>
      </c>
      <c r="D45" s="22" t="s">
        <v>133</v>
      </c>
      <c r="E45" s="8" t="s">
        <v>241</v>
      </c>
    </row>
    <row r="46" spans="1:5">
      <c r="A46" s="23">
        <f t="shared" si="0"/>
        <v>42</v>
      </c>
      <c r="B46" s="20" t="s">
        <v>105</v>
      </c>
      <c r="C46" s="21" t="s">
        <v>47</v>
      </c>
      <c r="D46" s="22" t="s">
        <v>133</v>
      </c>
      <c r="E46" s="8" t="s">
        <v>241</v>
      </c>
    </row>
    <row r="47" spans="1:5">
      <c r="A47" s="23">
        <f t="shared" si="0"/>
        <v>43</v>
      </c>
      <c r="B47" s="20" t="s">
        <v>106</v>
      </c>
      <c r="C47" s="21" t="s">
        <v>48</v>
      </c>
      <c r="D47" s="22" t="s">
        <v>133</v>
      </c>
      <c r="E47" s="8" t="s">
        <v>241</v>
      </c>
    </row>
    <row r="48" spans="1:5">
      <c r="A48" s="23">
        <f t="shared" si="0"/>
        <v>44</v>
      </c>
      <c r="B48" s="20" t="s">
        <v>107</v>
      </c>
      <c r="C48" s="21" t="s">
        <v>49</v>
      </c>
      <c r="D48" s="22" t="s">
        <v>133</v>
      </c>
      <c r="E48" s="8" t="s">
        <v>242</v>
      </c>
    </row>
    <row r="49" spans="1:5">
      <c r="A49" s="23">
        <f t="shared" si="0"/>
        <v>45</v>
      </c>
      <c r="B49" s="20" t="s">
        <v>108</v>
      </c>
      <c r="C49" s="21" t="s">
        <v>50</v>
      </c>
      <c r="D49" s="22" t="s">
        <v>133</v>
      </c>
      <c r="E49" s="8" t="s">
        <v>241</v>
      </c>
    </row>
    <row r="50" spans="1:5">
      <c r="A50" s="23">
        <f t="shared" si="0"/>
        <v>46</v>
      </c>
      <c r="B50" s="20" t="s">
        <v>109</v>
      </c>
      <c r="C50" s="21" t="s">
        <v>51</v>
      </c>
      <c r="D50" s="22" t="s">
        <v>131</v>
      </c>
      <c r="E50" s="8" t="s">
        <v>241</v>
      </c>
    </row>
    <row r="51" spans="1:5">
      <c r="A51" s="23">
        <f t="shared" si="0"/>
        <v>47</v>
      </c>
      <c r="B51" s="20" t="s">
        <v>110</v>
      </c>
      <c r="C51" s="21" t="s">
        <v>52</v>
      </c>
      <c r="D51" s="22" t="s">
        <v>133</v>
      </c>
      <c r="E51" s="8" t="s">
        <v>242</v>
      </c>
    </row>
    <row r="52" spans="1:5">
      <c r="A52" s="23">
        <f t="shared" si="0"/>
        <v>48</v>
      </c>
      <c r="B52" s="20" t="s">
        <v>111</v>
      </c>
      <c r="C52" s="21" t="s">
        <v>53</v>
      </c>
      <c r="D52" s="22" t="s">
        <v>133</v>
      </c>
      <c r="E52" s="8" t="s">
        <v>242</v>
      </c>
    </row>
    <row r="53" spans="1:5">
      <c r="A53" s="23">
        <f t="shared" si="0"/>
        <v>49</v>
      </c>
      <c r="B53" s="20" t="s">
        <v>112</v>
      </c>
      <c r="C53" s="21" t="s">
        <v>54</v>
      </c>
      <c r="D53" s="22" t="s">
        <v>133</v>
      </c>
      <c r="E53" s="8" t="s">
        <v>242</v>
      </c>
    </row>
    <row r="54" spans="1:5">
      <c r="A54" s="23">
        <f t="shared" si="0"/>
        <v>50</v>
      </c>
      <c r="B54" s="20" t="s">
        <v>113</v>
      </c>
      <c r="C54" s="21" t="s">
        <v>55</v>
      </c>
      <c r="D54" s="22" t="s">
        <v>133</v>
      </c>
      <c r="E54" s="8" t="s">
        <v>242</v>
      </c>
    </row>
    <row r="55" spans="1:5">
      <c r="A55" s="23">
        <f t="shared" si="0"/>
        <v>51</v>
      </c>
      <c r="B55" s="20" t="s">
        <v>114</v>
      </c>
      <c r="C55" s="21" t="s">
        <v>56</v>
      </c>
      <c r="D55" s="22" t="s">
        <v>131</v>
      </c>
      <c r="E55" s="8" t="s">
        <v>242</v>
      </c>
    </row>
    <row r="56" spans="1:5">
      <c r="A56" s="23">
        <f t="shared" si="0"/>
        <v>52</v>
      </c>
      <c r="B56" s="20" t="s">
        <v>115</v>
      </c>
      <c r="C56" s="21" t="s">
        <v>57</v>
      </c>
      <c r="D56" s="22" t="s">
        <v>131</v>
      </c>
      <c r="E56" s="8" t="s">
        <v>242</v>
      </c>
    </row>
    <row r="57" spans="1:5">
      <c r="A57" s="23">
        <f t="shared" si="0"/>
        <v>53</v>
      </c>
      <c r="B57" s="20" t="s">
        <v>116</v>
      </c>
      <c r="C57" s="21" t="s">
        <v>58</v>
      </c>
      <c r="D57" s="22" t="s">
        <v>131</v>
      </c>
      <c r="E57" s="8" t="s">
        <v>242</v>
      </c>
    </row>
    <row r="58" spans="1:5">
      <c r="A58" s="23">
        <f t="shared" si="0"/>
        <v>54</v>
      </c>
      <c r="B58" s="20" t="s">
        <v>117</v>
      </c>
      <c r="C58" s="21" t="s">
        <v>193</v>
      </c>
      <c r="D58" s="22" t="s">
        <v>194</v>
      </c>
      <c r="E58" s="8"/>
    </row>
    <row r="59" spans="1:5">
      <c r="A59" s="23">
        <f t="shared" si="0"/>
        <v>55</v>
      </c>
      <c r="B59" s="20" t="s">
        <v>118</v>
      </c>
      <c r="C59" s="21" t="s">
        <v>59</v>
      </c>
      <c r="D59" s="22" t="s">
        <v>131</v>
      </c>
      <c r="E59" s="8" t="s">
        <v>241</v>
      </c>
    </row>
    <row r="60" spans="1:5">
      <c r="A60" s="23">
        <f t="shared" si="0"/>
        <v>56</v>
      </c>
      <c r="B60" s="20" t="s">
        <v>119</v>
      </c>
      <c r="C60" s="21" t="s">
        <v>60</v>
      </c>
      <c r="D60" s="22" t="s">
        <v>131</v>
      </c>
      <c r="E60" s="8" t="s">
        <v>241</v>
      </c>
    </row>
    <row r="61" spans="1:5">
      <c r="A61" s="23">
        <f t="shared" si="0"/>
        <v>57</v>
      </c>
      <c r="B61" s="20" t="s">
        <v>120</v>
      </c>
      <c r="C61" s="21" t="s">
        <v>61</v>
      </c>
      <c r="D61" s="22" t="s">
        <v>133</v>
      </c>
      <c r="E61" s="8" t="s">
        <v>241</v>
      </c>
    </row>
    <row r="62" spans="1:5">
      <c r="A62" s="23">
        <f t="shared" si="0"/>
        <v>58</v>
      </c>
      <c r="B62" s="20" t="s">
        <v>121</v>
      </c>
      <c r="C62" s="21" t="s">
        <v>62</v>
      </c>
      <c r="D62" s="22" t="s">
        <v>133</v>
      </c>
      <c r="E62" s="8" t="s">
        <v>242</v>
      </c>
    </row>
    <row r="63" spans="1:5">
      <c r="A63" s="23">
        <f t="shared" si="0"/>
        <v>59</v>
      </c>
      <c r="B63" s="20" t="s">
        <v>122</v>
      </c>
      <c r="C63" s="21" t="s">
        <v>193</v>
      </c>
      <c r="D63" s="22" t="s">
        <v>194</v>
      </c>
      <c r="E63" s="8"/>
    </row>
    <row r="64" spans="1:5">
      <c r="A64" s="23">
        <f t="shared" si="0"/>
        <v>60</v>
      </c>
      <c r="B64" s="20" t="s">
        <v>123</v>
      </c>
      <c r="C64" s="21" t="s">
        <v>63</v>
      </c>
      <c r="D64" s="22" t="s">
        <v>133</v>
      </c>
      <c r="E64" s="8" t="s">
        <v>242</v>
      </c>
    </row>
    <row r="65" spans="1:5">
      <c r="A65" s="23">
        <f t="shared" si="0"/>
        <v>61</v>
      </c>
      <c r="B65" s="20" t="s">
        <v>124</v>
      </c>
      <c r="C65" s="21" t="s">
        <v>195</v>
      </c>
      <c r="D65" s="22" t="s">
        <v>134</v>
      </c>
      <c r="E65" s="8" t="s">
        <v>242</v>
      </c>
    </row>
    <row r="66" spans="1:5">
      <c r="A66" s="23">
        <f t="shared" si="0"/>
        <v>62</v>
      </c>
      <c r="B66" s="20" t="s">
        <v>125</v>
      </c>
      <c r="C66" s="21" t="s">
        <v>196</v>
      </c>
      <c r="D66" s="22" t="s">
        <v>133</v>
      </c>
      <c r="E66" s="8" t="s">
        <v>241</v>
      </c>
    </row>
    <row r="67" spans="1:5" ht="15" thickBot="1">
      <c r="A67" s="47">
        <f t="shared" si="0"/>
        <v>63</v>
      </c>
      <c r="B67" s="48" t="s">
        <v>126</v>
      </c>
      <c r="C67" s="49" t="s">
        <v>193</v>
      </c>
      <c r="D67" s="50" t="s">
        <v>194</v>
      </c>
      <c r="E67" s="51"/>
    </row>
    <row r="68" spans="1:5">
      <c r="A68" s="42">
        <f t="shared" si="0"/>
        <v>64</v>
      </c>
      <c r="B68" s="43" t="s">
        <v>127</v>
      </c>
      <c r="C68" s="44" t="s">
        <v>191</v>
      </c>
      <c r="D68" s="45" t="s">
        <v>133</v>
      </c>
      <c r="E68" s="46" t="s">
        <v>241</v>
      </c>
    </row>
    <row r="69" spans="1:5">
      <c r="A69" s="23">
        <f t="shared" si="0"/>
        <v>65</v>
      </c>
      <c r="B69" s="20" t="s">
        <v>199</v>
      </c>
      <c r="C69" s="21" t="s">
        <v>197</v>
      </c>
      <c r="D69" s="22" t="s">
        <v>131</v>
      </c>
      <c r="E69" s="8" t="s">
        <v>242</v>
      </c>
    </row>
    <row r="70" spans="1:5">
      <c r="A70" s="23">
        <f t="shared" si="0"/>
        <v>66</v>
      </c>
      <c r="B70" s="20" t="s">
        <v>128</v>
      </c>
      <c r="C70" s="21" t="s">
        <v>198</v>
      </c>
      <c r="D70" s="22" t="s">
        <v>131</v>
      </c>
      <c r="E70" s="8" t="s">
        <v>241</v>
      </c>
    </row>
    <row r="71" spans="1:5">
      <c r="A71" s="23">
        <f t="shared" ref="A71:A77" si="1">+A70+1</f>
        <v>67</v>
      </c>
      <c r="B71" s="20" t="s">
        <v>129</v>
      </c>
      <c r="C71" s="21" t="s">
        <v>204</v>
      </c>
      <c r="D71" s="22" t="s">
        <v>131</v>
      </c>
      <c r="E71" s="8" t="s">
        <v>241</v>
      </c>
    </row>
    <row r="72" spans="1:5">
      <c r="A72" s="24">
        <f t="shared" si="1"/>
        <v>68</v>
      </c>
      <c r="B72" s="20" t="s">
        <v>130</v>
      </c>
      <c r="C72" s="6" t="s">
        <v>205</v>
      </c>
      <c r="D72" s="18" t="s">
        <v>133</v>
      </c>
      <c r="E72" s="8" t="s">
        <v>241</v>
      </c>
    </row>
    <row r="73" spans="1:5">
      <c r="A73" s="24">
        <f t="shared" si="1"/>
        <v>69</v>
      </c>
      <c r="B73" s="20" t="s">
        <v>200</v>
      </c>
      <c r="C73" s="6" t="s">
        <v>207</v>
      </c>
      <c r="D73" s="18" t="s">
        <v>131</v>
      </c>
      <c r="E73" s="8" t="s">
        <v>241</v>
      </c>
    </row>
    <row r="74" spans="1:5">
      <c r="A74" s="24">
        <f t="shared" si="1"/>
        <v>70</v>
      </c>
      <c r="B74" s="20" t="s">
        <v>201</v>
      </c>
      <c r="C74" s="6" t="s">
        <v>208</v>
      </c>
      <c r="D74" s="18" t="s">
        <v>131</v>
      </c>
      <c r="E74" s="8" t="s">
        <v>241</v>
      </c>
    </row>
    <row r="75" spans="1:5">
      <c r="A75" s="24">
        <f t="shared" si="1"/>
        <v>71</v>
      </c>
      <c r="B75" s="20" t="s">
        <v>202</v>
      </c>
      <c r="C75" s="6" t="s">
        <v>209</v>
      </c>
      <c r="D75" s="18" t="s">
        <v>133</v>
      </c>
      <c r="E75" s="8" t="s">
        <v>241</v>
      </c>
    </row>
    <row r="76" spans="1:5">
      <c r="A76" s="24">
        <f t="shared" si="1"/>
        <v>72</v>
      </c>
      <c r="B76" s="20" t="s">
        <v>203</v>
      </c>
      <c r="C76" s="6" t="s">
        <v>210</v>
      </c>
      <c r="D76" s="18" t="s">
        <v>131</v>
      </c>
      <c r="E76" s="8" t="s">
        <v>241</v>
      </c>
    </row>
    <row r="77" spans="1:5">
      <c r="A77" s="24">
        <f t="shared" si="1"/>
        <v>73</v>
      </c>
      <c r="B77" s="20" t="s">
        <v>206</v>
      </c>
      <c r="C77" s="6" t="s">
        <v>211</v>
      </c>
      <c r="D77" s="18" t="s">
        <v>131</v>
      </c>
      <c r="E77" s="8" t="s">
        <v>241</v>
      </c>
    </row>
    <row r="78" spans="1:5">
      <c r="A78" s="24">
        <f t="shared" ref="A78:A94" si="2">+A77+1</f>
        <v>74</v>
      </c>
      <c r="B78" s="20" t="s">
        <v>212</v>
      </c>
      <c r="C78" s="6" t="s">
        <v>220</v>
      </c>
      <c r="D78" s="18" t="s">
        <v>131</v>
      </c>
      <c r="E78" s="8" t="s">
        <v>241</v>
      </c>
    </row>
    <row r="79" spans="1:5">
      <c r="A79" s="24">
        <f t="shared" si="2"/>
        <v>75</v>
      </c>
      <c r="B79" s="20" t="s">
        <v>213</v>
      </c>
      <c r="C79" s="6" t="s">
        <v>221</v>
      </c>
      <c r="D79" s="18" t="s">
        <v>131</v>
      </c>
      <c r="E79" s="8" t="s">
        <v>241</v>
      </c>
    </row>
    <row r="80" spans="1:5">
      <c r="A80" s="24">
        <f t="shared" si="2"/>
        <v>76</v>
      </c>
      <c r="B80" s="20" t="s">
        <v>214</v>
      </c>
      <c r="C80" s="6" t="s">
        <v>222</v>
      </c>
      <c r="D80" s="18" t="s">
        <v>131</v>
      </c>
      <c r="E80" s="8" t="s">
        <v>241</v>
      </c>
    </row>
    <row r="81" spans="1:5">
      <c r="A81" s="24">
        <f t="shared" si="2"/>
        <v>77</v>
      </c>
      <c r="B81" s="20" t="s">
        <v>215</v>
      </c>
      <c r="C81" s="6" t="s">
        <v>223</v>
      </c>
      <c r="D81" s="18" t="s">
        <v>131</v>
      </c>
      <c r="E81" s="8" t="s">
        <v>241</v>
      </c>
    </row>
    <row r="82" spans="1:5" ht="15" thickBot="1">
      <c r="A82" s="24">
        <f t="shared" si="2"/>
        <v>78</v>
      </c>
      <c r="B82" s="20" t="s">
        <v>216</v>
      </c>
      <c r="C82" s="6" t="s">
        <v>243</v>
      </c>
      <c r="D82" s="18" t="s">
        <v>133</v>
      </c>
      <c r="E82" s="8" t="s">
        <v>241</v>
      </c>
    </row>
    <row r="83" spans="1:5" ht="15" thickBot="1">
      <c r="A83" s="183">
        <f t="shared" si="2"/>
        <v>79</v>
      </c>
      <c r="B83" s="109" t="s">
        <v>217</v>
      </c>
      <c r="C83" s="184" t="s">
        <v>256</v>
      </c>
      <c r="D83" s="185" t="s">
        <v>131</v>
      </c>
      <c r="E83" s="8" t="s">
        <v>242</v>
      </c>
    </row>
    <row r="84" spans="1:5" ht="15" thickBot="1">
      <c r="A84" s="183">
        <f t="shared" si="2"/>
        <v>80</v>
      </c>
      <c r="B84" s="109" t="s">
        <v>218</v>
      </c>
      <c r="C84" s="184" t="s">
        <v>600</v>
      </c>
      <c r="D84" s="185" t="s">
        <v>131</v>
      </c>
      <c r="E84" s="8" t="s">
        <v>242</v>
      </c>
    </row>
    <row r="85" spans="1:5" ht="15" thickBot="1">
      <c r="A85" s="192">
        <f t="shared" si="2"/>
        <v>81</v>
      </c>
      <c r="B85" s="109" t="s">
        <v>219</v>
      </c>
      <c r="C85" s="179" t="s">
        <v>257</v>
      </c>
      <c r="D85" s="193" t="s">
        <v>131</v>
      </c>
      <c r="E85" s="8" t="s">
        <v>241</v>
      </c>
    </row>
    <row r="86" spans="1:5" ht="15" thickBot="1">
      <c r="A86" s="188">
        <f t="shared" si="2"/>
        <v>82</v>
      </c>
      <c r="B86" s="92" t="s">
        <v>250</v>
      </c>
      <c r="C86" s="121" t="s">
        <v>258</v>
      </c>
      <c r="D86" s="189" t="s">
        <v>133</v>
      </c>
      <c r="E86" s="8" t="s">
        <v>242</v>
      </c>
    </row>
    <row r="87" spans="1:5" ht="15" thickBot="1">
      <c r="A87" s="190">
        <f t="shared" si="2"/>
        <v>83</v>
      </c>
      <c r="B87" s="92" t="s">
        <v>251</v>
      </c>
      <c r="C87" s="93" t="s">
        <v>261</v>
      </c>
      <c r="D87" s="191" t="s">
        <v>131</v>
      </c>
      <c r="E87" s="8" t="s">
        <v>242</v>
      </c>
    </row>
    <row r="88" spans="1:5">
      <c r="A88" s="319">
        <f>+A87+1</f>
        <v>84</v>
      </c>
      <c r="B88" s="322" t="s">
        <v>252</v>
      </c>
      <c r="C88" s="325" t="s">
        <v>262</v>
      </c>
      <c r="D88" s="328" t="s">
        <v>131</v>
      </c>
      <c r="E88" s="470" t="s">
        <v>241</v>
      </c>
    </row>
    <row r="89" spans="1:5">
      <c r="A89" s="320"/>
      <c r="B89" s="323"/>
      <c r="C89" s="326"/>
      <c r="D89" s="329"/>
      <c r="E89" s="471"/>
    </row>
    <row r="90" spans="1:5" ht="15" thickBot="1">
      <c r="A90" s="321"/>
      <c r="B90" s="324"/>
      <c r="C90" s="327"/>
      <c r="D90" s="330"/>
      <c r="E90" s="469"/>
    </row>
    <row r="91" spans="1:5" ht="15" thickBot="1">
      <c r="A91" s="183">
        <f>+A88+1</f>
        <v>85</v>
      </c>
      <c r="B91" s="109" t="s">
        <v>253</v>
      </c>
      <c r="C91" s="184" t="s">
        <v>263</v>
      </c>
      <c r="D91" s="185" t="s">
        <v>133</v>
      </c>
      <c r="E91" s="8" t="s">
        <v>242</v>
      </c>
    </row>
    <row r="92" spans="1:5" ht="15" thickBot="1">
      <c r="A92" s="183">
        <f t="shared" si="2"/>
        <v>86</v>
      </c>
      <c r="B92" s="109" t="s">
        <v>254</v>
      </c>
      <c r="C92" s="184" t="s">
        <v>264</v>
      </c>
      <c r="D92" s="185" t="s">
        <v>133</v>
      </c>
      <c r="E92" s="8" t="s">
        <v>242</v>
      </c>
    </row>
    <row r="93" spans="1:5" ht="15" thickBot="1">
      <c r="A93" s="188">
        <f t="shared" si="2"/>
        <v>87</v>
      </c>
      <c r="B93" s="92" t="s">
        <v>255</v>
      </c>
      <c r="C93" s="121" t="s">
        <v>275</v>
      </c>
      <c r="D93" s="189" t="s">
        <v>131</v>
      </c>
      <c r="E93" s="8" t="s">
        <v>241</v>
      </c>
    </row>
    <row r="94" spans="1:5">
      <c r="A94" s="319">
        <f t="shared" si="2"/>
        <v>88</v>
      </c>
      <c r="B94" s="322" t="s">
        <v>265</v>
      </c>
      <c r="C94" s="325" t="s">
        <v>521</v>
      </c>
      <c r="D94" s="328" t="s">
        <v>133</v>
      </c>
      <c r="E94" s="470" t="s">
        <v>241</v>
      </c>
    </row>
    <row r="95" spans="1:5">
      <c r="A95" s="320"/>
      <c r="B95" s="323"/>
      <c r="C95" s="326"/>
      <c r="D95" s="329"/>
      <c r="E95" s="471"/>
    </row>
    <row r="96" spans="1:5">
      <c r="A96" s="320"/>
      <c r="B96" s="323"/>
      <c r="C96" s="326"/>
      <c r="D96" s="329"/>
      <c r="E96" s="471"/>
    </row>
    <row r="97" spans="1:5" ht="15" thickBot="1">
      <c r="A97" s="321"/>
      <c r="B97" s="324"/>
      <c r="C97" s="327"/>
      <c r="D97" s="330"/>
      <c r="E97" s="469"/>
    </row>
    <row r="98" spans="1:5" ht="15" thickBot="1">
      <c r="A98" s="183">
        <f>+A94+1</f>
        <v>89</v>
      </c>
      <c r="B98" s="109" t="s">
        <v>266</v>
      </c>
      <c r="C98" s="184" t="s">
        <v>578</v>
      </c>
      <c r="D98" s="185" t="s">
        <v>133</v>
      </c>
      <c r="E98" s="8" t="s">
        <v>242</v>
      </c>
    </row>
    <row r="99" spans="1:5" ht="15" thickBot="1">
      <c r="A99" s="183">
        <f>+A98+1</f>
        <v>90</v>
      </c>
      <c r="B99" s="109" t="s">
        <v>267</v>
      </c>
      <c r="C99" s="184" t="s">
        <v>535</v>
      </c>
      <c r="D99" s="185" t="s">
        <v>131</v>
      </c>
      <c r="E99" s="8" t="s">
        <v>241</v>
      </c>
    </row>
    <row r="100" spans="1:5" ht="15" thickBot="1">
      <c r="A100" s="183">
        <f>+A99+1</f>
        <v>91</v>
      </c>
      <c r="B100" s="109" t="s">
        <v>268</v>
      </c>
      <c r="C100" s="184" t="s">
        <v>581</v>
      </c>
      <c r="D100" s="185" t="s">
        <v>133</v>
      </c>
      <c r="E100" s="8" t="s">
        <v>241</v>
      </c>
    </row>
    <row r="101" spans="1:5" ht="15" thickBot="1">
      <c r="A101" s="183">
        <f>+A100+1</f>
        <v>92</v>
      </c>
      <c r="B101" s="109" t="s">
        <v>527</v>
      </c>
      <c r="C101" s="184" t="s">
        <v>603</v>
      </c>
      <c r="D101" s="185" t="s">
        <v>131</v>
      </c>
      <c r="E101" s="8" t="s">
        <v>242</v>
      </c>
    </row>
    <row r="102" spans="1:5">
      <c r="A102" s="312">
        <f t="shared" ref="A102:A112" si="3">+A101+1</f>
        <v>93</v>
      </c>
      <c r="B102" s="314" t="s">
        <v>528</v>
      </c>
      <c r="C102" s="303" t="s">
        <v>313</v>
      </c>
      <c r="D102" s="301" t="s">
        <v>133</v>
      </c>
      <c r="E102" s="468" t="s">
        <v>241</v>
      </c>
    </row>
    <row r="103" spans="1:5" ht="15" thickBot="1">
      <c r="A103" s="313"/>
      <c r="B103" s="315"/>
      <c r="C103" s="304"/>
      <c r="D103" s="302"/>
      <c r="E103" s="469"/>
    </row>
    <row r="104" spans="1:5" ht="15" thickBot="1">
      <c r="A104" s="183">
        <v>94</v>
      </c>
      <c r="B104" s="58" t="s">
        <v>529</v>
      </c>
      <c r="C104" s="147" t="s">
        <v>613</v>
      </c>
      <c r="D104" s="182" t="s">
        <v>133</v>
      </c>
      <c r="E104" s="8" t="s">
        <v>242</v>
      </c>
    </row>
    <row r="105" spans="1:5" ht="15" thickBot="1">
      <c r="A105" s="183">
        <f>+A104+1</f>
        <v>95</v>
      </c>
      <c r="B105" s="20" t="s">
        <v>530</v>
      </c>
      <c r="C105" s="6" t="s">
        <v>614</v>
      </c>
      <c r="D105" s="18" t="s">
        <v>133</v>
      </c>
      <c r="E105" s="8" t="s">
        <v>241</v>
      </c>
    </row>
    <row r="106" spans="1:5" ht="15" thickBot="1">
      <c r="A106" s="183">
        <f>+A105+1</f>
        <v>96</v>
      </c>
      <c r="B106" s="58" t="s">
        <v>531</v>
      </c>
      <c r="C106" s="6" t="s">
        <v>615</v>
      </c>
      <c r="D106" s="18" t="s">
        <v>131</v>
      </c>
      <c r="E106" s="8" t="s">
        <v>241</v>
      </c>
    </row>
    <row r="107" spans="1:5">
      <c r="A107" s="190">
        <f t="shared" si="3"/>
        <v>97</v>
      </c>
      <c r="B107" s="20" t="s">
        <v>532</v>
      </c>
      <c r="C107" s="147" t="s">
        <v>619</v>
      </c>
      <c r="D107" s="182" t="s">
        <v>133</v>
      </c>
      <c r="E107" s="8" t="s">
        <v>241</v>
      </c>
    </row>
    <row r="108" spans="1:5" ht="15" thickBot="1">
      <c r="A108" s="271">
        <v>98</v>
      </c>
      <c r="B108" s="58" t="s">
        <v>533</v>
      </c>
      <c r="C108" s="6" t="s">
        <v>626</v>
      </c>
      <c r="D108" s="182" t="s">
        <v>133</v>
      </c>
      <c r="E108" s="8" t="s">
        <v>242</v>
      </c>
    </row>
    <row r="109" spans="1:5" ht="15" thickBot="1">
      <c r="A109" s="271">
        <f t="shared" si="3"/>
        <v>99</v>
      </c>
      <c r="B109" s="58" t="s">
        <v>534</v>
      </c>
      <c r="C109" s="6" t="s">
        <v>627</v>
      </c>
      <c r="D109" s="18" t="s">
        <v>131</v>
      </c>
      <c r="E109" s="8" t="s">
        <v>241</v>
      </c>
    </row>
    <row r="110" spans="1:5" ht="15" thickBot="1">
      <c r="A110" s="271">
        <f t="shared" si="3"/>
        <v>100</v>
      </c>
      <c r="B110" s="58" t="s">
        <v>622</v>
      </c>
      <c r="C110" s="6" t="s">
        <v>628</v>
      </c>
      <c r="D110" s="182" t="s">
        <v>133</v>
      </c>
      <c r="E110" s="8" t="s">
        <v>241</v>
      </c>
    </row>
    <row r="111" spans="1:5" ht="15" thickBot="1">
      <c r="A111" s="271">
        <f t="shared" si="3"/>
        <v>101</v>
      </c>
      <c r="B111" s="58" t="s">
        <v>623</v>
      </c>
      <c r="C111" s="6" t="s">
        <v>631</v>
      </c>
      <c r="D111" s="18" t="s">
        <v>131</v>
      </c>
      <c r="E111" s="8" t="s">
        <v>241</v>
      </c>
    </row>
    <row r="112" spans="1:5" ht="15" thickBot="1">
      <c r="A112" s="271">
        <f t="shared" si="3"/>
        <v>102</v>
      </c>
      <c r="B112" s="58" t="s">
        <v>624</v>
      </c>
      <c r="C112" s="6" t="s">
        <v>632</v>
      </c>
      <c r="D112" s="18" t="s">
        <v>131</v>
      </c>
      <c r="E112" s="8" t="s">
        <v>241</v>
      </c>
    </row>
  </sheetData>
  <mergeCells count="19">
    <mergeCell ref="A102:A103"/>
    <mergeCell ref="B102:B103"/>
    <mergeCell ref="C102:C103"/>
    <mergeCell ref="D102:D103"/>
    <mergeCell ref="E102:E103"/>
    <mergeCell ref="A94:A97"/>
    <mergeCell ref="B94:B97"/>
    <mergeCell ref="C94:C97"/>
    <mergeCell ref="D94:D97"/>
    <mergeCell ref="E94:E97"/>
    <mergeCell ref="B3:C3"/>
    <mergeCell ref="B2:C2"/>
    <mergeCell ref="B1:C1"/>
    <mergeCell ref="E1:E3"/>
    <mergeCell ref="A88:A90"/>
    <mergeCell ref="B88:B90"/>
    <mergeCell ref="C88:C90"/>
    <mergeCell ref="D88:D90"/>
    <mergeCell ref="E88:E90"/>
  </mergeCells>
  <phoneticPr fontId="10" type="noConversion"/>
  <conditionalFormatting sqref="E113:E1048576 E1:E84">
    <cfRule type="containsText" dxfId="58" priority="43" operator="containsText" text="IN">
      <formula>NOT(ISERROR(SEARCH("IN",E1)))</formula>
    </cfRule>
    <cfRule type="containsText" dxfId="57" priority="45" operator="containsText" text="ACTIVO">
      <formula>NOT(ISERROR(SEARCH("ACTIVO",E1)))</formula>
    </cfRule>
  </conditionalFormatting>
  <conditionalFormatting sqref="E5:E81">
    <cfRule type="containsText" dxfId="56" priority="46" operator="containsText" text="INACTIVO">
      <formula>NOT(ISERROR(SEARCH("INACTIVO",E5)))</formula>
    </cfRule>
  </conditionalFormatting>
  <conditionalFormatting sqref="E85">
    <cfRule type="containsText" dxfId="39" priority="38" operator="containsText" text="IN">
      <formula>NOT(ISERROR(SEARCH("IN",E85)))</formula>
    </cfRule>
    <cfRule type="containsText" dxfId="38" priority="39" operator="containsText" text="ACTIVO">
      <formula>NOT(ISERROR(SEARCH("ACTIVO",E85)))</formula>
    </cfRule>
  </conditionalFormatting>
  <conditionalFormatting sqref="E85">
    <cfRule type="containsText" dxfId="37" priority="40" operator="containsText" text="INACTIVO">
      <formula>NOT(ISERROR(SEARCH("INACTIVO",E85)))</formula>
    </cfRule>
  </conditionalFormatting>
  <conditionalFormatting sqref="E88">
    <cfRule type="containsText" dxfId="36" priority="35" operator="containsText" text="IN">
      <formula>NOT(ISERROR(SEARCH("IN",E88)))</formula>
    </cfRule>
    <cfRule type="containsText" dxfId="35" priority="36" operator="containsText" text="ACTIVO">
      <formula>NOT(ISERROR(SEARCH("ACTIVO",E88)))</formula>
    </cfRule>
  </conditionalFormatting>
  <conditionalFormatting sqref="E88">
    <cfRule type="containsText" dxfId="34" priority="37" operator="containsText" text="INACTIVO">
      <formula>NOT(ISERROR(SEARCH("INACTIVO",E88)))</formula>
    </cfRule>
  </conditionalFormatting>
  <conditionalFormatting sqref="E93:E94">
    <cfRule type="containsText" dxfId="33" priority="32" operator="containsText" text="IN">
      <formula>NOT(ISERROR(SEARCH("IN",E93)))</formula>
    </cfRule>
    <cfRule type="containsText" dxfId="32" priority="33" operator="containsText" text="ACTIVO">
      <formula>NOT(ISERROR(SEARCH("ACTIVO",E93)))</formula>
    </cfRule>
  </conditionalFormatting>
  <conditionalFormatting sqref="E93:E94">
    <cfRule type="containsText" dxfId="31" priority="34" operator="containsText" text="INACTIVO">
      <formula>NOT(ISERROR(SEARCH("INACTIVO",E93)))</formula>
    </cfRule>
  </conditionalFormatting>
  <conditionalFormatting sqref="E99:E100">
    <cfRule type="containsText" dxfId="30" priority="29" operator="containsText" text="IN">
      <formula>NOT(ISERROR(SEARCH("IN",E99)))</formula>
    </cfRule>
    <cfRule type="containsText" dxfId="29" priority="30" operator="containsText" text="ACTIVO">
      <formula>NOT(ISERROR(SEARCH("ACTIVO",E99)))</formula>
    </cfRule>
  </conditionalFormatting>
  <conditionalFormatting sqref="E99:E100">
    <cfRule type="containsText" dxfId="28" priority="31" operator="containsText" text="INACTIVO">
      <formula>NOT(ISERROR(SEARCH("INACTIVO",E99)))</formula>
    </cfRule>
  </conditionalFormatting>
  <conditionalFormatting sqref="E102">
    <cfRule type="containsText" dxfId="27" priority="26" operator="containsText" text="IN">
      <formula>NOT(ISERROR(SEARCH("IN",E102)))</formula>
    </cfRule>
    <cfRule type="containsText" dxfId="26" priority="27" operator="containsText" text="ACTIVO">
      <formula>NOT(ISERROR(SEARCH("ACTIVO",E102)))</formula>
    </cfRule>
  </conditionalFormatting>
  <conditionalFormatting sqref="E102">
    <cfRule type="containsText" dxfId="25" priority="28" operator="containsText" text="INACTIVO">
      <formula>NOT(ISERROR(SEARCH("INACTIVO",E102)))</formula>
    </cfRule>
  </conditionalFormatting>
  <conditionalFormatting sqref="E105:E107">
    <cfRule type="containsText" dxfId="24" priority="23" operator="containsText" text="IN">
      <formula>NOT(ISERROR(SEARCH("IN",E105)))</formula>
    </cfRule>
    <cfRule type="containsText" dxfId="23" priority="24" operator="containsText" text="ACTIVO">
      <formula>NOT(ISERROR(SEARCH("ACTIVO",E105)))</formula>
    </cfRule>
  </conditionalFormatting>
  <conditionalFormatting sqref="E105:E107">
    <cfRule type="containsText" dxfId="22" priority="25" operator="containsText" text="INACTIVO">
      <formula>NOT(ISERROR(SEARCH("INACTIVO",E105)))</formula>
    </cfRule>
  </conditionalFormatting>
  <conditionalFormatting sqref="E109:E112">
    <cfRule type="containsText" dxfId="21" priority="20" operator="containsText" text="IN">
      <formula>NOT(ISERROR(SEARCH("IN",E109)))</formula>
    </cfRule>
    <cfRule type="containsText" dxfId="20" priority="21" operator="containsText" text="ACTIVO">
      <formula>NOT(ISERROR(SEARCH("ACTIVO",E109)))</formula>
    </cfRule>
  </conditionalFormatting>
  <conditionalFormatting sqref="E109:E112">
    <cfRule type="containsText" dxfId="19" priority="22" operator="containsText" text="INACTIVO">
      <formula>NOT(ISERROR(SEARCH("INACTIVO",E109)))</formula>
    </cfRule>
  </conditionalFormatting>
  <conditionalFormatting sqref="E83:E84">
    <cfRule type="containsText" dxfId="18" priority="19" operator="containsText" text="INACTIVO">
      <formula>NOT(ISERROR(SEARCH("INACTIVO",E83)))</formula>
    </cfRule>
  </conditionalFormatting>
  <conditionalFormatting sqref="E86:E87">
    <cfRule type="containsText" dxfId="17" priority="17" operator="containsText" text="IN">
      <formula>NOT(ISERROR(SEARCH("IN",E86)))</formula>
    </cfRule>
    <cfRule type="containsText" dxfId="16" priority="18" operator="containsText" text="ACTIVO">
      <formula>NOT(ISERROR(SEARCH("ACTIVO",E86)))</formula>
    </cfRule>
  </conditionalFormatting>
  <conditionalFormatting sqref="E86:E87">
    <cfRule type="containsText" dxfId="15" priority="16" operator="containsText" text="INACTIVO">
      <formula>NOT(ISERROR(SEARCH("INACTIVO",E86)))</formula>
    </cfRule>
  </conditionalFormatting>
  <conditionalFormatting sqref="E91:E92">
    <cfRule type="containsText" dxfId="14" priority="14" operator="containsText" text="IN">
      <formula>NOT(ISERROR(SEARCH("IN",E91)))</formula>
    </cfRule>
    <cfRule type="containsText" dxfId="13" priority="15" operator="containsText" text="ACTIVO">
      <formula>NOT(ISERROR(SEARCH("ACTIVO",E91)))</formula>
    </cfRule>
  </conditionalFormatting>
  <conditionalFormatting sqref="E91:E92">
    <cfRule type="containsText" dxfId="12" priority="13" operator="containsText" text="INACTIVO">
      <formula>NOT(ISERROR(SEARCH("INACTIVO",E91)))</formula>
    </cfRule>
  </conditionalFormatting>
  <conditionalFormatting sqref="E98">
    <cfRule type="containsText" dxfId="11" priority="11" operator="containsText" text="IN">
      <formula>NOT(ISERROR(SEARCH("IN",E98)))</formula>
    </cfRule>
    <cfRule type="containsText" dxfId="10" priority="12" operator="containsText" text="ACTIVO">
      <formula>NOT(ISERROR(SEARCH("ACTIVO",E98)))</formula>
    </cfRule>
  </conditionalFormatting>
  <conditionalFormatting sqref="E98">
    <cfRule type="containsText" dxfId="9" priority="10" operator="containsText" text="INACTIVO">
      <formula>NOT(ISERROR(SEARCH("INACTIVO",E98)))</formula>
    </cfRule>
  </conditionalFormatting>
  <conditionalFormatting sqref="E101">
    <cfRule type="containsText" dxfId="8" priority="8" operator="containsText" text="IN">
      <formula>NOT(ISERROR(SEARCH("IN",E101)))</formula>
    </cfRule>
    <cfRule type="containsText" dxfId="7" priority="9" operator="containsText" text="ACTIVO">
      <formula>NOT(ISERROR(SEARCH("ACTIVO",E101)))</formula>
    </cfRule>
  </conditionalFormatting>
  <conditionalFormatting sqref="E101">
    <cfRule type="containsText" dxfId="6" priority="7" operator="containsText" text="INACTIVO">
      <formula>NOT(ISERROR(SEARCH("INACTIVO",E101)))</formula>
    </cfRule>
  </conditionalFormatting>
  <conditionalFormatting sqref="E104">
    <cfRule type="containsText" dxfId="5" priority="5" operator="containsText" text="IN">
      <formula>NOT(ISERROR(SEARCH("IN",E104)))</formula>
    </cfRule>
    <cfRule type="containsText" dxfId="4" priority="6" operator="containsText" text="ACTIVO">
      <formula>NOT(ISERROR(SEARCH("ACTIVO",E104)))</formula>
    </cfRule>
  </conditionalFormatting>
  <conditionalFormatting sqref="E104">
    <cfRule type="containsText" dxfId="3" priority="4" operator="containsText" text="INACTIVO">
      <formula>NOT(ISERROR(SEARCH("INACTIVO",E104)))</formula>
    </cfRule>
  </conditionalFormatting>
  <conditionalFormatting sqref="E108">
    <cfRule type="containsText" dxfId="2" priority="2" operator="containsText" text="IN">
      <formula>NOT(ISERROR(SEARCH("IN",E108)))</formula>
    </cfRule>
    <cfRule type="containsText" dxfId="1" priority="3" operator="containsText" text="ACTIVO">
      <formula>NOT(ISERROR(SEARCH("ACTIVO",E108)))</formula>
    </cfRule>
  </conditionalFormatting>
  <conditionalFormatting sqref="E108">
    <cfRule type="containsText" dxfId="0" priority="1" operator="containsText" text="INACTIVO">
      <formula>NOT(ISERROR(SEARCH("INACTIVO",E108)))</formula>
    </cfRule>
  </conditionalFormatting>
  <pageMargins left="0.25" right="0.25" top="0.75" bottom="0.75" header="0.3" footer="0.3"/>
  <pageSetup scale="19" fitToHeight="0" orientation="portrait" r:id="rId1"/>
  <rowBreaks count="1" manualBreakCount="1">
    <brk id="67" max="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7949-8E45-4A1D-AAB3-866C82B0D196}">
  <dimension ref="A1:E17"/>
  <sheetViews>
    <sheetView zoomScale="90" zoomScaleNormal="90" workbookViewId="0">
      <selection activeCell="A35" sqref="A35"/>
    </sheetView>
  </sheetViews>
  <sheetFormatPr baseColWidth="10" defaultColWidth="11.44140625" defaultRowHeight="14.4"/>
  <cols>
    <col min="1" max="1" width="30.33203125" customWidth="1"/>
    <col min="2" max="2" width="53.44140625" customWidth="1"/>
    <col min="3" max="3" width="20.6640625" customWidth="1"/>
    <col min="4" max="4" width="23.109375" customWidth="1"/>
    <col min="5" max="6" width="20.6640625" customWidth="1"/>
  </cols>
  <sheetData>
    <row r="1" spans="1:5" ht="20.25" customHeight="1">
      <c r="A1" s="297"/>
      <c r="B1" s="296" t="s">
        <v>248</v>
      </c>
      <c r="C1" s="52" t="s">
        <v>244</v>
      </c>
      <c r="D1" s="62" t="s">
        <v>260</v>
      </c>
    </row>
    <row r="2" spans="1:5" ht="20.25" customHeight="1">
      <c r="A2" s="298"/>
      <c r="B2" s="296"/>
      <c r="C2" s="52" t="s">
        <v>245</v>
      </c>
      <c r="D2" s="62" t="s">
        <v>249</v>
      </c>
    </row>
    <row r="3" spans="1:5" ht="20.25" customHeight="1">
      <c r="A3" s="298"/>
      <c r="B3" s="296"/>
      <c r="C3" s="52" t="s">
        <v>246</v>
      </c>
      <c r="D3" s="63">
        <v>45519</v>
      </c>
    </row>
    <row r="4" spans="1:5" ht="15" customHeight="1">
      <c r="A4" s="299"/>
      <c r="B4" s="64" t="s">
        <v>270</v>
      </c>
      <c r="C4" s="61" t="s">
        <v>247</v>
      </c>
      <c r="D4" s="62" t="s">
        <v>269</v>
      </c>
      <c r="E4" s="10"/>
    </row>
    <row r="5" spans="1:5" ht="17.399999999999999">
      <c r="A5" s="31" t="s">
        <v>177</v>
      </c>
      <c r="B5" s="294" t="s">
        <v>178</v>
      </c>
      <c r="C5" s="295"/>
      <c r="D5" s="41" t="s">
        <v>229</v>
      </c>
    </row>
    <row r="6" spans="1:5" ht="20.25" customHeight="1">
      <c r="A6" s="30" t="s">
        <v>179</v>
      </c>
      <c r="B6" s="33" t="s">
        <v>183</v>
      </c>
      <c r="C6" s="33" t="s">
        <v>233</v>
      </c>
      <c r="D6" s="33" t="s">
        <v>230</v>
      </c>
    </row>
    <row r="7" spans="1:5" ht="20.25" customHeight="1">
      <c r="A7" s="30" t="s">
        <v>180</v>
      </c>
      <c r="B7" s="36" t="s">
        <v>226</v>
      </c>
      <c r="C7" s="36" t="s">
        <v>180</v>
      </c>
      <c r="D7" s="36" t="s">
        <v>231</v>
      </c>
    </row>
    <row r="8" spans="1:5" ht="20.25" customHeight="1">
      <c r="A8" s="30" t="s">
        <v>182</v>
      </c>
      <c r="B8" s="37" t="s">
        <v>181</v>
      </c>
      <c r="C8" s="37" t="s">
        <v>232</v>
      </c>
      <c r="D8" s="37" t="s">
        <v>231</v>
      </c>
    </row>
    <row r="9" spans="1:5" ht="20.25" customHeight="1">
      <c r="A9" s="30" t="s">
        <v>224</v>
      </c>
      <c r="B9" s="38" t="s">
        <v>225</v>
      </c>
      <c r="C9" s="38" t="s">
        <v>224</v>
      </c>
      <c r="D9" s="38" t="s">
        <v>234</v>
      </c>
    </row>
    <row r="10" spans="1:5" ht="20.25" customHeight="1">
      <c r="A10" s="30" t="s">
        <v>184</v>
      </c>
      <c r="B10" s="32" t="s">
        <v>185</v>
      </c>
      <c r="C10" s="32" t="s">
        <v>184</v>
      </c>
      <c r="D10" s="32"/>
    </row>
    <row r="11" spans="1:5" ht="20.25" customHeight="1">
      <c r="A11" s="30" t="s">
        <v>186</v>
      </c>
      <c r="B11" s="33" t="s">
        <v>183</v>
      </c>
      <c r="C11" s="33" t="s">
        <v>186</v>
      </c>
      <c r="D11" s="33" t="s">
        <v>231</v>
      </c>
    </row>
    <row r="12" spans="1:5" ht="20.25" customHeight="1">
      <c r="A12" s="30" t="s">
        <v>187</v>
      </c>
      <c r="B12" s="39" t="s">
        <v>228</v>
      </c>
      <c r="C12" s="34" t="s">
        <v>187</v>
      </c>
      <c r="D12" s="34" t="s">
        <v>235</v>
      </c>
    </row>
    <row r="13" spans="1:5" ht="20.25" customHeight="1">
      <c r="A13" s="30" t="s">
        <v>188</v>
      </c>
      <c r="B13" s="39" t="s">
        <v>227</v>
      </c>
      <c r="C13" s="40" t="s">
        <v>188</v>
      </c>
      <c r="D13" s="40" t="s">
        <v>235</v>
      </c>
    </row>
    <row r="14" spans="1:5" ht="20.25" customHeight="1">
      <c r="A14" s="30">
        <v>6061</v>
      </c>
      <c r="B14" s="35" t="s">
        <v>189</v>
      </c>
      <c r="C14" s="35">
        <v>6061</v>
      </c>
      <c r="D14" s="35"/>
    </row>
    <row r="15" spans="1:5" ht="20.25" customHeight="1">
      <c r="E15" s="25"/>
    </row>
    <row r="16" spans="1:5" ht="20.25" customHeight="1"/>
    <row r="17" ht="20.25" customHeight="1"/>
  </sheetData>
  <mergeCells count="3">
    <mergeCell ref="B5:C5"/>
    <mergeCell ref="B1:B3"/>
    <mergeCell ref="A1:A4"/>
  </mergeCells>
  <conditionalFormatting sqref="C1:C4">
    <cfRule type="containsText" dxfId="55" priority="1" operator="containsText" text="IN">
      <formula>NOT(ISERROR(SEARCH("IN",C1)))</formula>
    </cfRule>
    <cfRule type="containsText" dxfId="54" priority="2" operator="containsText" text="ACTIVO">
      <formula>NOT(ISERROR(SEARCH("ACTIVO",C1)))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E2F0-52E7-4122-AF55-2A40F9356ACE}">
  <sheetPr>
    <pageSetUpPr fitToPage="1"/>
  </sheetPr>
  <dimension ref="A1:R262"/>
  <sheetViews>
    <sheetView zoomScale="60" zoomScaleNormal="60" zoomScaleSheetLayoutView="85" zoomScalePageLayoutView="70" workbookViewId="0">
      <pane ySplit="5" topLeftCell="A185" activePane="bottomLeft" state="frozen"/>
      <selection pane="bottomLeft" activeCell="A186" sqref="A186:E215"/>
    </sheetView>
  </sheetViews>
  <sheetFormatPr baseColWidth="10" defaultRowHeight="14.4"/>
  <cols>
    <col min="1" max="1" width="13.44140625" style="5" customWidth="1"/>
    <col min="2" max="2" width="19" style="10" customWidth="1"/>
    <col min="3" max="3" width="54.6640625" style="5" customWidth="1"/>
    <col min="4" max="5" width="12.44140625" style="19" customWidth="1"/>
    <col min="6" max="6" width="12.44140625" style="255" customWidth="1"/>
    <col min="7" max="7" width="13.33203125" style="19" customWidth="1"/>
    <col min="8" max="9" width="25.44140625" customWidth="1"/>
    <col min="10" max="10" width="52.44140625" customWidth="1"/>
    <col min="11" max="11" width="23.33203125" customWidth="1"/>
    <col min="12" max="12" width="23.33203125" style="228" customWidth="1"/>
    <col min="13" max="13" width="34.109375" style="5" customWidth="1"/>
    <col min="14" max="14" width="52.44140625" customWidth="1"/>
    <col min="15" max="15" width="29.33203125" style="5" bestFit="1" customWidth="1"/>
    <col min="16" max="16" width="11.44140625" style="5"/>
  </cols>
  <sheetData>
    <row r="1" spans="1:18" ht="15.9" customHeight="1">
      <c r="A1" s="435" t="e" vm="1">
        <v>#VALUE!</v>
      </c>
      <c r="B1" s="436"/>
      <c r="C1" s="441" t="s">
        <v>248</v>
      </c>
      <c r="D1" s="52" t="s">
        <v>244</v>
      </c>
      <c r="E1" s="62" t="s">
        <v>260</v>
      </c>
      <c r="F1" s="77"/>
      <c r="G1" s="77" t="s">
        <v>596</v>
      </c>
      <c r="H1" s="77"/>
      <c r="I1" s="77" t="s">
        <v>617</v>
      </c>
      <c r="J1" s="443" t="s">
        <v>618</v>
      </c>
      <c r="K1" s="443"/>
      <c r="L1" s="213"/>
      <c r="O1" s="77"/>
    </row>
    <row r="2" spans="1:18" ht="15.6">
      <c r="A2" s="437"/>
      <c r="B2" s="438"/>
      <c r="C2" s="442"/>
      <c r="D2" s="52" t="s">
        <v>245</v>
      </c>
      <c r="E2" s="62" t="s">
        <v>611</v>
      </c>
      <c r="F2" s="77" t="s">
        <v>616</v>
      </c>
      <c r="G2" s="259" t="s">
        <v>597</v>
      </c>
      <c r="H2" s="77"/>
      <c r="I2" s="77"/>
      <c r="J2" s="443"/>
      <c r="K2" s="443"/>
      <c r="L2" s="213"/>
      <c r="O2" s="77"/>
    </row>
    <row r="3" spans="1:18" ht="15.6">
      <c r="A3" s="437"/>
      <c r="B3" s="438"/>
      <c r="C3" s="442"/>
      <c r="D3" s="52" t="s">
        <v>246</v>
      </c>
      <c r="E3" s="272" t="s">
        <v>609</v>
      </c>
      <c r="F3" s="78"/>
      <c r="G3" s="260" t="s">
        <v>598</v>
      </c>
      <c r="H3" s="78"/>
      <c r="I3" s="78"/>
      <c r="J3" s="78"/>
      <c r="K3" s="78"/>
      <c r="L3" s="213"/>
      <c r="O3" s="78"/>
    </row>
    <row r="4" spans="1:18" ht="15.75" customHeight="1">
      <c r="A4" s="439"/>
      <c r="B4" s="440"/>
      <c r="C4" s="270" t="s">
        <v>608</v>
      </c>
      <c r="D4" s="61" t="s">
        <v>247</v>
      </c>
      <c r="E4" s="62" t="s">
        <v>610</v>
      </c>
      <c r="F4" s="77"/>
      <c r="G4" s="261" t="s">
        <v>599</v>
      </c>
      <c r="H4" s="77"/>
      <c r="I4" s="77"/>
      <c r="J4" s="77"/>
      <c r="K4" s="77"/>
      <c r="L4" s="213"/>
      <c r="O4" s="77"/>
    </row>
    <row r="5" spans="1:18" ht="42.75" customHeight="1">
      <c r="A5" s="80" t="s">
        <v>5</v>
      </c>
      <c r="B5" s="79" t="s">
        <v>3</v>
      </c>
      <c r="C5" s="12" t="s">
        <v>238</v>
      </c>
      <c r="D5" s="79" t="s">
        <v>363</v>
      </c>
      <c r="E5" s="195" t="s">
        <v>4</v>
      </c>
      <c r="F5" s="254" t="s">
        <v>553</v>
      </c>
      <c r="G5" s="195" t="s">
        <v>526</v>
      </c>
      <c r="H5" s="81" t="s">
        <v>276</v>
      </c>
      <c r="I5" s="81" t="s">
        <v>280</v>
      </c>
      <c r="J5" s="81" t="s">
        <v>392</v>
      </c>
      <c r="K5" s="81" t="s">
        <v>292</v>
      </c>
      <c r="L5" s="214" t="s">
        <v>537</v>
      </c>
      <c r="M5" s="81" t="s">
        <v>282</v>
      </c>
      <c r="N5" s="82" t="s">
        <v>277</v>
      </c>
      <c r="O5" s="81" t="s">
        <v>516</v>
      </c>
      <c r="P5" s="452" t="s">
        <v>621</v>
      </c>
      <c r="Q5" s="452"/>
      <c r="R5" s="452"/>
    </row>
    <row r="6" spans="1:18">
      <c r="A6" s="417">
        <v>1</v>
      </c>
      <c r="B6" s="361" t="s">
        <v>64</v>
      </c>
      <c r="C6" s="418" t="s">
        <v>192</v>
      </c>
      <c r="D6" s="361" t="s">
        <v>131</v>
      </c>
      <c r="E6" s="361" t="s">
        <v>242</v>
      </c>
      <c r="F6" s="361" t="s">
        <v>180</v>
      </c>
      <c r="G6" s="361" t="s">
        <v>168</v>
      </c>
      <c r="H6" s="362"/>
      <c r="I6" s="362"/>
      <c r="J6" s="114" t="s">
        <v>312</v>
      </c>
      <c r="K6" s="114" t="s">
        <v>180</v>
      </c>
      <c r="L6" s="215"/>
      <c r="M6" s="453"/>
      <c r="N6" s="453"/>
      <c r="O6" s="453"/>
      <c r="P6"/>
    </row>
    <row r="7" spans="1:18">
      <c r="A7" s="382"/>
      <c r="B7" s="350"/>
      <c r="C7" s="383"/>
      <c r="D7" s="350"/>
      <c r="E7" s="350"/>
      <c r="F7" s="350"/>
      <c r="G7" s="350"/>
      <c r="H7" s="310"/>
      <c r="I7" s="310"/>
      <c r="J7" s="114" t="s">
        <v>284</v>
      </c>
      <c r="K7" s="114" t="s">
        <v>180</v>
      </c>
      <c r="L7" s="115"/>
      <c r="M7" s="378"/>
      <c r="N7" s="378"/>
      <c r="O7" s="378"/>
      <c r="P7"/>
    </row>
    <row r="8" spans="1:18" ht="15" thickBot="1">
      <c r="A8" s="370"/>
      <c r="B8" s="315"/>
      <c r="C8" s="372"/>
      <c r="D8" s="315"/>
      <c r="E8" s="315"/>
      <c r="F8" s="315"/>
      <c r="G8" s="315"/>
      <c r="H8" s="304"/>
      <c r="I8" s="304"/>
      <c r="J8" s="114" t="s">
        <v>437</v>
      </c>
      <c r="K8" s="114" t="s">
        <v>180</v>
      </c>
      <c r="L8" s="115"/>
      <c r="M8" s="368"/>
      <c r="N8" s="368"/>
      <c r="O8" s="368"/>
      <c r="P8"/>
    </row>
    <row r="9" spans="1:18">
      <c r="A9" s="369">
        <f>+A8+1</f>
        <v>1</v>
      </c>
      <c r="B9" s="314" t="s">
        <v>65</v>
      </c>
      <c r="C9" s="371" t="s">
        <v>543</v>
      </c>
      <c r="D9" s="314" t="s">
        <v>133</v>
      </c>
      <c r="E9" s="314" t="s">
        <v>241</v>
      </c>
      <c r="F9" s="349" t="s">
        <v>224</v>
      </c>
      <c r="G9" s="314" t="s">
        <v>517</v>
      </c>
      <c r="H9" s="303" t="s">
        <v>334</v>
      </c>
      <c r="I9" s="303" t="s">
        <v>335</v>
      </c>
      <c r="J9" s="153" t="s">
        <v>289</v>
      </c>
      <c r="K9" s="153" t="s">
        <v>180</v>
      </c>
      <c r="L9" s="307">
        <v>50</v>
      </c>
      <c r="M9" s="346" t="s">
        <v>336</v>
      </c>
      <c r="N9" s="347" t="s">
        <v>337</v>
      </c>
      <c r="O9" s="345" t="s">
        <v>520</v>
      </c>
      <c r="P9" s="276">
        <v>0.81</v>
      </c>
      <c r="Q9" s="276">
        <v>0.85</v>
      </c>
      <c r="R9" s="276">
        <v>0.75</v>
      </c>
    </row>
    <row r="10" spans="1:18">
      <c r="A10" s="382"/>
      <c r="B10" s="350"/>
      <c r="C10" s="383"/>
      <c r="D10" s="350"/>
      <c r="E10" s="350"/>
      <c r="F10" s="350"/>
      <c r="G10" s="350"/>
      <c r="H10" s="310"/>
      <c r="I10" s="310"/>
      <c r="J10" s="152" t="s">
        <v>315</v>
      </c>
      <c r="K10" s="152">
        <v>380</v>
      </c>
      <c r="L10" s="308"/>
      <c r="M10" s="310"/>
      <c r="N10" s="408"/>
      <c r="O10" s="317"/>
      <c r="P10"/>
      <c r="Q10" s="277">
        <v>0.98</v>
      </c>
    </row>
    <row r="11" spans="1:18">
      <c r="A11" s="382"/>
      <c r="B11" s="350"/>
      <c r="C11" s="383"/>
      <c r="D11" s="350"/>
      <c r="E11" s="350"/>
      <c r="F11" s="350"/>
      <c r="G11" s="350"/>
      <c r="H11" s="310"/>
      <c r="I11" s="310"/>
      <c r="J11" s="152" t="s">
        <v>307</v>
      </c>
      <c r="K11" s="152">
        <v>380</v>
      </c>
      <c r="L11" s="308"/>
      <c r="M11" s="310"/>
      <c r="N11" s="408"/>
      <c r="O11" s="317"/>
      <c r="P11"/>
      <c r="Q11" s="276">
        <v>0.89</v>
      </c>
    </row>
    <row r="12" spans="1:18" ht="15" thickBot="1">
      <c r="A12" s="370"/>
      <c r="B12" s="315"/>
      <c r="C12" s="372"/>
      <c r="D12" s="315"/>
      <c r="E12" s="315"/>
      <c r="F12" s="315"/>
      <c r="G12" s="315"/>
      <c r="H12" s="304"/>
      <c r="I12" s="304"/>
      <c r="J12" s="154" t="s">
        <v>289</v>
      </c>
      <c r="K12" s="154">
        <v>356</v>
      </c>
      <c r="L12" s="309"/>
      <c r="M12" s="304"/>
      <c r="N12" s="306"/>
      <c r="O12" s="318"/>
      <c r="P12"/>
      <c r="Q12" s="276">
        <v>0.96</v>
      </c>
    </row>
    <row r="13" spans="1:18">
      <c r="A13" s="57">
        <f>+A9+1</f>
        <v>2</v>
      </c>
      <c r="B13" s="58" t="s">
        <v>66</v>
      </c>
      <c r="C13" s="59" t="s">
        <v>8</v>
      </c>
      <c r="D13" s="60" t="s">
        <v>133</v>
      </c>
      <c r="E13" s="60" t="s">
        <v>242</v>
      </c>
      <c r="F13" s="60">
        <v>380</v>
      </c>
      <c r="G13" s="60" t="s">
        <v>517</v>
      </c>
      <c r="H13" s="107"/>
      <c r="I13" s="107"/>
      <c r="J13" s="107"/>
      <c r="K13" s="107"/>
      <c r="L13" s="107"/>
      <c r="M13" s="107"/>
      <c r="N13" s="107"/>
      <c r="O13" s="107"/>
      <c r="P13"/>
      <c r="Q13" s="276">
        <v>0.86</v>
      </c>
    </row>
    <row r="14" spans="1:18" ht="15" thickBot="1">
      <c r="A14" s="53">
        <f t="shared" ref="A14:A48" si="0">+A13+1</f>
        <v>3</v>
      </c>
      <c r="B14" s="54" t="s">
        <v>67</v>
      </c>
      <c r="C14" s="55" t="s">
        <v>9</v>
      </c>
      <c r="D14" s="56" t="s">
        <v>133</v>
      </c>
      <c r="E14" s="56" t="s">
        <v>242</v>
      </c>
      <c r="F14" s="56" t="s">
        <v>187</v>
      </c>
      <c r="G14" s="56" t="s">
        <v>517</v>
      </c>
      <c r="H14" s="85"/>
      <c r="I14" s="85"/>
      <c r="J14" s="85"/>
      <c r="K14" s="85"/>
      <c r="L14" s="85"/>
      <c r="M14" s="85"/>
      <c r="N14" s="85"/>
      <c r="O14" s="85"/>
      <c r="P14"/>
      <c r="Q14" s="276">
        <v>0.97</v>
      </c>
    </row>
    <row r="15" spans="1:18">
      <c r="A15" s="444">
        <f>+A14+1</f>
        <v>4</v>
      </c>
      <c r="B15" s="412" t="s">
        <v>68</v>
      </c>
      <c r="C15" s="386" t="s">
        <v>10</v>
      </c>
      <c r="D15" s="412" t="s">
        <v>131</v>
      </c>
      <c r="E15" s="412" t="s">
        <v>242</v>
      </c>
      <c r="F15" s="450" t="s">
        <v>224</v>
      </c>
      <c r="G15" s="412" t="s">
        <v>517</v>
      </c>
      <c r="H15" s="373" t="s">
        <v>278</v>
      </c>
      <c r="I15" s="373" t="s">
        <v>281</v>
      </c>
      <c r="J15" s="86" t="s">
        <v>284</v>
      </c>
      <c r="K15" s="104">
        <v>380</v>
      </c>
      <c r="L15" s="216">
        <v>10</v>
      </c>
      <c r="M15" s="432" t="s">
        <v>283</v>
      </c>
      <c r="N15" s="347" t="s">
        <v>279</v>
      </c>
      <c r="O15" s="274"/>
      <c r="P15" s="276"/>
      <c r="Q15" s="276">
        <v>0.9</v>
      </c>
    </row>
    <row r="16" spans="1:18">
      <c r="A16" s="445"/>
      <c r="B16" s="447"/>
      <c r="C16" s="449"/>
      <c r="D16" s="447"/>
      <c r="E16" s="447"/>
      <c r="F16" s="447"/>
      <c r="G16" s="447"/>
      <c r="H16" s="451"/>
      <c r="I16" s="451"/>
      <c r="J16" s="6" t="s">
        <v>284</v>
      </c>
      <c r="K16" s="103">
        <v>356</v>
      </c>
      <c r="L16" s="202"/>
      <c r="M16" s="433"/>
      <c r="N16" s="348"/>
      <c r="O16" s="103"/>
      <c r="P16"/>
      <c r="Q16" s="276">
        <v>0.9</v>
      </c>
    </row>
    <row r="17" spans="1:18">
      <c r="A17" s="445"/>
      <c r="B17" s="447"/>
      <c r="C17" s="449"/>
      <c r="D17" s="447"/>
      <c r="E17" s="447"/>
      <c r="F17" s="447"/>
      <c r="G17" s="447"/>
      <c r="H17" s="451"/>
      <c r="I17" s="451"/>
      <c r="J17" s="6" t="s">
        <v>285</v>
      </c>
      <c r="K17" s="103">
        <v>47100</v>
      </c>
      <c r="L17" s="202"/>
      <c r="M17" s="433"/>
      <c r="N17" s="348"/>
      <c r="O17" s="103"/>
      <c r="P17"/>
      <c r="Q17" s="276">
        <v>0.86</v>
      </c>
    </row>
    <row r="18" spans="1:18">
      <c r="A18" s="445"/>
      <c r="B18" s="447"/>
      <c r="C18" s="449"/>
      <c r="D18" s="447"/>
      <c r="E18" s="447"/>
      <c r="F18" s="447"/>
      <c r="G18" s="447"/>
      <c r="H18" s="451"/>
      <c r="I18" s="451"/>
      <c r="J18" s="6" t="s">
        <v>286</v>
      </c>
      <c r="K18" s="103">
        <v>383</v>
      </c>
      <c r="L18" s="202"/>
      <c r="M18" s="433"/>
      <c r="N18" s="348"/>
      <c r="O18" s="103"/>
      <c r="P18"/>
      <c r="Q18" s="276">
        <v>0.82</v>
      </c>
    </row>
    <row r="19" spans="1:18" ht="33.75" customHeight="1" thickBot="1">
      <c r="A19" s="446"/>
      <c r="B19" s="448"/>
      <c r="C19" s="387"/>
      <c r="D19" s="448"/>
      <c r="E19" s="448"/>
      <c r="F19" s="448"/>
      <c r="G19" s="448"/>
      <c r="H19" s="374"/>
      <c r="I19" s="374"/>
      <c r="J19" s="88" t="s">
        <v>287</v>
      </c>
      <c r="K19" s="105">
        <v>356</v>
      </c>
      <c r="L19" s="172"/>
      <c r="M19" s="434"/>
      <c r="N19" s="366"/>
      <c r="O19" s="105"/>
      <c r="P19"/>
      <c r="Q19" s="276">
        <v>0.78</v>
      </c>
    </row>
    <row r="20" spans="1:18" ht="15" thickBot="1">
      <c r="A20" s="134">
        <f>+A15+1</f>
        <v>5</v>
      </c>
      <c r="B20" s="89" t="s">
        <v>69</v>
      </c>
      <c r="C20" s="135" t="s">
        <v>11</v>
      </c>
      <c r="D20" s="136" t="s">
        <v>132</v>
      </c>
      <c r="E20" s="136" t="s">
        <v>242</v>
      </c>
      <c r="F20" s="19"/>
      <c r="G20" s="136" t="s">
        <v>518</v>
      </c>
      <c r="H20" s="145"/>
      <c r="I20" s="145"/>
      <c r="J20" s="145"/>
      <c r="K20" s="145"/>
      <c r="L20" s="145"/>
      <c r="M20" s="84"/>
      <c r="N20" s="83"/>
      <c r="O20" s="145"/>
      <c r="P20"/>
      <c r="Q20" s="276">
        <v>0.8</v>
      </c>
    </row>
    <row r="21" spans="1:18" ht="29.4" thickBot="1">
      <c r="A21" s="139">
        <f t="shared" si="0"/>
        <v>6</v>
      </c>
      <c r="B21" s="109" t="s">
        <v>70</v>
      </c>
      <c r="C21" s="140" t="s">
        <v>12</v>
      </c>
      <c r="D21" s="20" t="s">
        <v>131</v>
      </c>
      <c r="E21" s="20" t="s">
        <v>242</v>
      </c>
      <c r="F21" s="22"/>
      <c r="G21" s="20" t="s">
        <v>194</v>
      </c>
      <c r="H21" s="141" t="s">
        <v>409</v>
      </c>
      <c r="I21" s="141" t="s">
        <v>408</v>
      </c>
      <c r="J21" s="141" t="s">
        <v>410</v>
      </c>
      <c r="K21" s="141">
        <v>553</v>
      </c>
      <c r="L21" s="141"/>
      <c r="M21" s="142" t="s">
        <v>406</v>
      </c>
      <c r="N21" s="143" t="s">
        <v>411</v>
      </c>
      <c r="O21" s="141"/>
      <c r="P21"/>
      <c r="Q21" s="276">
        <v>0.93</v>
      </c>
    </row>
    <row r="22" spans="1:18">
      <c r="A22" s="369">
        <v>8</v>
      </c>
      <c r="B22" s="314" t="s">
        <v>71</v>
      </c>
      <c r="C22" s="371" t="s">
        <v>13</v>
      </c>
      <c r="D22" s="350" t="s">
        <v>131</v>
      </c>
      <c r="E22" s="350" t="s">
        <v>242</v>
      </c>
      <c r="F22" s="361"/>
      <c r="G22" s="361" t="s">
        <v>517</v>
      </c>
      <c r="H22" s="303" t="s">
        <v>290</v>
      </c>
      <c r="I22" s="303" t="s">
        <v>371</v>
      </c>
      <c r="J22" s="97" t="s">
        <v>288</v>
      </c>
      <c r="K22" s="101">
        <v>356</v>
      </c>
      <c r="L22" s="203"/>
      <c r="M22" s="303"/>
      <c r="N22" s="347" t="s">
        <v>291</v>
      </c>
      <c r="O22" s="101"/>
      <c r="P22"/>
      <c r="Q22" s="276">
        <v>0.82</v>
      </c>
    </row>
    <row r="23" spans="1:18">
      <c r="A23" s="382"/>
      <c r="B23" s="350"/>
      <c r="C23" s="383"/>
      <c r="D23" s="350"/>
      <c r="E23" s="350"/>
      <c r="F23" s="350"/>
      <c r="G23" s="350"/>
      <c r="H23" s="310"/>
      <c r="I23" s="310"/>
      <c r="J23" s="98" t="s">
        <v>288</v>
      </c>
      <c r="K23" s="100">
        <v>319</v>
      </c>
      <c r="L23" s="204"/>
      <c r="M23" s="310"/>
      <c r="N23" s="408"/>
      <c r="O23" s="100"/>
      <c r="P23"/>
      <c r="Q23" s="276">
        <v>0.88</v>
      </c>
    </row>
    <row r="24" spans="1:18">
      <c r="A24" s="382"/>
      <c r="B24" s="350"/>
      <c r="C24" s="383"/>
      <c r="D24" s="350"/>
      <c r="E24" s="350"/>
      <c r="F24" s="350"/>
      <c r="G24" s="350"/>
      <c r="H24" s="310"/>
      <c r="I24" s="310"/>
      <c r="J24" s="98" t="s">
        <v>289</v>
      </c>
      <c r="K24" s="100">
        <v>356</v>
      </c>
      <c r="L24" s="204"/>
      <c r="M24" s="310"/>
      <c r="N24" s="408"/>
      <c r="O24" s="100"/>
      <c r="P24"/>
      <c r="Q24" s="276">
        <v>0.84</v>
      </c>
    </row>
    <row r="25" spans="1:18" ht="15" thickBot="1">
      <c r="A25" s="370"/>
      <c r="B25" s="315"/>
      <c r="C25" s="372"/>
      <c r="D25" s="315"/>
      <c r="E25" s="315"/>
      <c r="F25" s="315"/>
      <c r="G25" s="315"/>
      <c r="H25" s="304"/>
      <c r="I25" s="304"/>
      <c r="J25" s="99" t="s">
        <v>289</v>
      </c>
      <c r="K25" s="102" t="s">
        <v>180</v>
      </c>
      <c r="L25" s="205"/>
      <c r="M25" s="304"/>
      <c r="N25" s="306"/>
      <c r="O25" s="102"/>
      <c r="P25"/>
    </row>
    <row r="26" spans="1:18" ht="15" thickBot="1">
      <c r="A26" s="108">
        <v>9</v>
      </c>
      <c r="B26" s="109" t="s">
        <v>72</v>
      </c>
      <c r="C26" s="110" t="s">
        <v>14</v>
      </c>
      <c r="D26" s="111" t="s">
        <v>133</v>
      </c>
      <c r="E26" s="111" t="s">
        <v>242</v>
      </c>
      <c r="F26" s="111"/>
      <c r="G26" s="111" t="s">
        <v>168</v>
      </c>
      <c r="H26" s="112" t="s">
        <v>293</v>
      </c>
      <c r="I26" s="112" t="s">
        <v>370</v>
      </c>
      <c r="J26" s="112" t="s">
        <v>289</v>
      </c>
      <c r="K26" s="112">
        <v>46000</v>
      </c>
      <c r="L26" s="112"/>
      <c r="M26" s="239" t="s">
        <v>294</v>
      </c>
      <c r="N26" s="113" t="s">
        <v>295</v>
      </c>
      <c r="O26" s="112"/>
      <c r="P26"/>
    </row>
    <row r="27" spans="1:18">
      <c r="A27" s="57">
        <f t="shared" si="0"/>
        <v>10</v>
      </c>
      <c r="B27" s="58" t="s">
        <v>73</v>
      </c>
      <c r="C27" s="59" t="s">
        <v>15</v>
      </c>
      <c r="D27" s="60" t="s">
        <v>131</v>
      </c>
      <c r="E27" s="60" t="s">
        <v>242</v>
      </c>
      <c r="F27" s="425"/>
      <c r="G27" s="60" t="s">
        <v>517</v>
      </c>
      <c r="H27" s="76"/>
      <c r="I27" s="76"/>
      <c r="J27" s="76"/>
      <c r="K27" s="76"/>
      <c r="L27" s="76"/>
      <c r="M27" s="107"/>
      <c r="N27" s="107"/>
      <c r="O27" s="76"/>
      <c r="P27"/>
    </row>
    <row r="28" spans="1:18" ht="15" thickBot="1">
      <c r="A28" s="53">
        <f t="shared" si="0"/>
        <v>11</v>
      </c>
      <c r="B28" s="54" t="s">
        <v>74</v>
      </c>
      <c r="C28" s="55" t="s">
        <v>16</v>
      </c>
      <c r="D28" s="56" t="s">
        <v>131</v>
      </c>
      <c r="E28" s="56" t="s">
        <v>242</v>
      </c>
      <c r="F28" s="426"/>
      <c r="G28" s="56" t="s">
        <v>517</v>
      </c>
      <c r="H28" s="75"/>
      <c r="I28" s="75"/>
      <c r="J28" s="169"/>
      <c r="K28" s="169"/>
      <c r="L28" s="169"/>
      <c r="M28" s="116"/>
      <c r="N28" s="85"/>
      <c r="O28" s="169"/>
      <c r="P28"/>
    </row>
    <row r="29" spans="1:18">
      <c r="A29" s="392">
        <f>+A28+1</f>
        <v>12</v>
      </c>
      <c r="B29" s="322" t="s">
        <v>75</v>
      </c>
      <c r="C29" s="384" t="s">
        <v>17</v>
      </c>
      <c r="D29" s="322" t="s">
        <v>131</v>
      </c>
      <c r="E29" s="322" t="s">
        <v>242</v>
      </c>
      <c r="F29" s="427" t="s">
        <v>224</v>
      </c>
      <c r="G29" s="322" t="s">
        <v>168</v>
      </c>
      <c r="H29" s="325" t="s">
        <v>498</v>
      </c>
      <c r="I29" s="325" t="s">
        <v>499</v>
      </c>
      <c r="J29" s="153" t="s">
        <v>296</v>
      </c>
      <c r="K29" s="153">
        <v>380</v>
      </c>
      <c r="L29" s="429">
        <v>30</v>
      </c>
      <c r="M29" s="325"/>
      <c r="N29" s="340" t="s">
        <v>438</v>
      </c>
      <c r="O29" s="428" t="s">
        <v>579</v>
      </c>
      <c r="P29" s="276">
        <v>0.98</v>
      </c>
      <c r="Q29" s="276">
        <v>0.85</v>
      </c>
      <c r="R29" s="276">
        <v>0.75</v>
      </c>
    </row>
    <row r="30" spans="1:18" ht="15" customHeight="1">
      <c r="A30" s="393"/>
      <c r="B30" s="323"/>
      <c r="C30" s="395"/>
      <c r="D30" s="323"/>
      <c r="E30" s="323"/>
      <c r="F30" s="323"/>
      <c r="G30" s="323"/>
      <c r="H30" s="326"/>
      <c r="I30" s="326"/>
      <c r="J30" s="152" t="s">
        <v>576</v>
      </c>
      <c r="K30" s="152">
        <v>380</v>
      </c>
      <c r="L30" s="430"/>
      <c r="M30" s="326"/>
      <c r="N30" s="413"/>
      <c r="O30" s="326"/>
      <c r="P30"/>
    </row>
    <row r="31" spans="1:18" ht="15" thickBot="1">
      <c r="A31" s="394"/>
      <c r="B31" s="324"/>
      <c r="C31" s="385"/>
      <c r="D31" s="324"/>
      <c r="E31" s="324"/>
      <c r="F31" s="324"/>
      <c r="G31" s="324"/>
      <c r="H31" s="327"/>
      <c r="I31" s="327"/>
      <c r="J31" s="154" t="s">
        <v>439</v>
      </c>
      <c r="K31" s="154">
        <v>380</v>
      </c>
      <c r="L31" s="431"/>
      <c r="M31" s="327"/>
      <c r="N31" s="414"/>
      <c r="O31" s="327"/>
      <c r="P31"/>
    </row>
    <row r="32" spans="1:18" ht="15" thickBot="1">
      <c r="A32" s="134">
        <f>+A29+1</f>
        <v>13</v>
      </c>
      <c r="B32" s="89" t="s">
        <v>76</v>
      </c>
      <c r="C32" s="135" t="s">
        <v>18</v>
      </c>
      <c r="D32" s="136" t="s">
        <v>133</v>
      </c>
      <c r="E32" s="136" t="s">
        <v>241</v>
      </c>
      <c r="F32" s="136" t="s">
        <v>577</v>
      </c>
      <c r="G32" s="136" t="s">
        <v>519</v>
      </c>
      <c r="H32" s="137"/>
      <c r="I32" s="137"/>
      <c r="J32" s="137"/>
      <c r="K32" s="137"/>
      <c r="L32" s="218"/>
      <c r="M32" s="138"/>
      <c r="N32" s="138"/>
      <c r="O32" s="144" t="s">
        <v>517</v>
      </c>
      <c r="P32" s="7"/>
      <c r="Q32" s="7"/>
      <c r="R32" s="7"/>
    </row>
    <row r="33" spans="1:18">
      <c r="A33" s="369">
        <f>+A32+1</f>
        <v>14</v>
      </c>
      <c r="B33" s="314" t="s">
        <v>77</v>
      </c>
      <c r="C33" s="371" t="s">
        <v>19</v>
      </c>
      <c r="D33" s="314" t="s">
        <v>133</v>
      </c>
      <c r="E33" s="314" t="s">
        <v>242</v>
      </c>
      <c r="F33" s="267" t="s">
        <v>552</v>
      </c>
      <c r="G33" s="314" t="s">
        <v>517</v>
      </c>
      <c r="H33" s="303" t="s">
        <v>362</v>
      </c>
      <c r="I33" s="325" t="s">
        <v>360</v>
      </c>
      <c r="J33" s="161" t="s">
        <v>315</v>
      </c>
      <c r="K33" s="161">
        <v>380</v>
      </c>
      <c r="L33" s="219"/>
      <c r="M33" s="341" t="s">
        <v>358</v>
      </c>
      <c r="N33" s="342" t="s">
        <v>359</v>
      </c>
      <c r="O33" s="160"/>
      <c r="P33" s="277">
        <v>0.9</v>
      </c>
    </row>
    <row r="34" spans="1:18">
      <c r="A34" s="382"/>
      <c r="B34" s="350"/>
      <c r="C34" s="383"/>
      <c r="D34" s="350"/>
      <c r="E34" s="350"/>
      <c r="F34" s="350">
        <v>356</v>
      </c>
      <c r="G34" s="350"/>
      <c r="H34" s="310"/>
      <c r="I34" s="326"/>
      <c r="J34" s="157" t="s">
        <v>341</v>
      </c>
      <c r="K34" s="157">
        <v>356</v>
      </c>
      <c r="L34" s="157"/>
      <c r="M34" s="326"/>
      <c r="N34" s="343"/>
      <c r="O34" s="157"/>
      <c r="P34"/>
    </row>
    <row r="35" spans="1:18">
      <c r="A35" s="382"/>
      <c r="B35" s="350"/>
      <c r="C35" s="383"/>
      <c r="D35" s="350"/>
      <c r="E35" s="350"/>
      <c r="F35" s="350"/>
      <c r="G35" s="350"/>
      <c r="H35" s="310"/>
      <c r="I35" s="326"/>
      <c r="J35" s="157" t="s">
        <v>346</v>
      </c>
      <c r="K35" s="157">
        <v>1000</v>
      </c>
      <c r="L35" s="157"/>
      <c r="M35" s="326"/>
      <c r="N35" s="343"/>
      <c r="O35" s="157"/>
      <c r="P35"/>
    </row>
    <row r="36" spans="1:18" ht="15" thickBot="1">
      <c r="A36" s="370"/>
      <c r="B36" s="315"/>
      <c r="C36" s="372"/>
      <c r="D36" s="315"/>
      <c r="E36" s="315"/>
      <c r="F36" s="95">
        <v>380</v>
      </c>
      <c r="G36" s="315"/>
      <c r="H36" s="304"/>
      <c r="I36" s="327"/>
      <c r="J36" s="154" t="s">
        <v>319</v>
      </c>
      <c r="K36" s="154">
        <v>6000</v>
      </c>
      <c r="L36" s="154"/>
      <c r="M36" s="327"/>
      <c r="N36" s="344"/>
      <c r="O36" s="154"/>
      <c r="P36"/>
    </row>
    <row r="37" spans="1:18" ht="15" thickBot="1">
      <c r="A37" s="134">
        <f>+A33+1</f>
        <v>15</v>
      </c>
      <c r="B37" s="89" t="s">
        <v>78</v>
      </c>
      <c r="C37" s="135" t="s">
        <v>20</v>
      </c>
      <c r="D37" s="136" t="s">
        <v>131</v>
      </c>
      <c r="E37" s="136" t="s">
        <v>242</v>
      </c>
      <c r="F37" s="136"/>
      <c r="G37" s="136" t="s">
        <v>517</v>
      </c>
      <c r="H37" s="137"/>
      <c r="I37" s="137"/>
      <c r="J37" s="137"/>
      <c r="K37" s="137"/>
      <c r="L37" s="137"/>
      <c r="M37" s="138"/>
      <c r="N37" s="138"/>
      <c r="O37" s="137"/>
      <c r="P37"/>
    </row>
    <row r="38" spans="1:18">
      <c r="A38" s="369">
        <v>16</v>
      </c>
      <c r="B38" s="314" t="s">
        <v>79</v>
      </c>
      <c r="C38" s="371" t="s">
        <v>21</v>
      </c>
      <c r="D38" s="314" t="s">
        <v>131</v>
      </c>
      <c r="E38" s="314" t="s">
        <v>242</v>
      </c>
      <c r="F38" s="92" t="s">
        <v>552</v>
      </c>
      <c r="G38" s="314" t="s">
        <v>517</v>
      </c>
      <c r="H38" s="303" t="s">
        <v>368</v>
      </c>
      <c r="I38" s="303" t="s">
        <v>369</v>
      </c>
      <c r="J38" s="166" t="s">
        <v>315</v>
      </c>
      <c r="K38" s="166">
        <v>380</v>
      </c>
      <c r="L38" s="166"/>
      <c r="M38" s="367"/>
      <c r="N38" s="388"/>
      <c r="O38" s="166"/>
      <c r="P38"/>
    </row>
    <row r="39" spans="1:18">
      <c r="A39" s="382"/>
      <c r="B39" s="350"/>
      <c r="C39" s="383"/>
      <c r="D39" s="350"/>
      <c r="E39" s="350"/>
      <c r="F39" s="89" t="s">
        <v>552</v>
      </c>
      <c r="G39" s="350"/>
      <c r="H39" s="310"/>
      <c r="I39" s="310"/>
      <c r="J39" s="151" t="s">
        <v>288</v>
      </c>
      <c r="K39" s="151">
        <v>380</v>
      </c>
      <c r="L39" s="144"/>
      <c r="M39" s="378"/>
      <c r="N39" s="424"/>
      <c r="O39" s="151"/>
      <c r="P39"/>
    </row>
    <row r="40" spans="1:18">
      <c r="A40" s="382"/>
      <c r="B40" s="350"/>
      <c r="C40" s="383"/>
      <c r="D40" s="350"/>
      <c r="E40" s="350"/>
      <c r="F40" s="89">
        <v>356</v>
      </c>
      <c r="G40" s="350"/>
      <c r="H40" s="310"/>
      <c r="I40" s="310"/>
      <c r="J40" s="151" t="s">
        <v>341</v>
      </c>
      <c r="K40" s="151">
        <v>356</v>
      </c>
      <c r="L40" s="144"/>
      <c r="M40" s="378"/>
      <c r="N40" s="424"/>
      <c r="O40" s="151"/>
      <c r="P40"/>
    </row>
    <row r="41" spans="1:18" ht="15" thickBot="1">
      <c r="A41" s="370"/>
      <c r="B41" s="315"/>
      <c r="C41" s="372"/>
      <c r="D41" s="315"/>
      <c r="E41" s="315"/>
      <c r="F41" s="95" t="s">
        <v>552</v>
      </c>
      <c r="G41" s="315"/>
      <c r="H41" s="304"/>
      <c r="I41" s="304"/>
      <c r="J41" s="123" t="s">
        <v>319</v>
      </c>
      <c r="K41" s="123">
        <v>380</v>
      </c>
      <c r="L41" s="168"/>
      <c r="M41" s="368"/>
      <c r="N41" s="389"/>
      <c r="O41" s="123"/>
      <c r="P41"/>
    </row>
    <row r="42" spans="1:18" ht="15" thickBot="1">
      <c r="A42" s="134">
        <v>17</v>
      </c>
      <c r="B42" s="89" t="s">
        <v>80</v>
      </c>
      <c r="C42" s="135" t="s">
        <v>364</v>
      </c>
      <c r="D42" s="136" t="s">
        <v>544</v>
      </c>
      <c r="E42" s="136" t="s">
        <v>241</v>
      </c>
      <c r="F42" s="269" t="s">
        <v>552</v>
      </c>
      <c r="G42" s="136" t="s">
        <v>517</v>
      </c>
      <c r="H42" s="144" t="s">
        <v>440</v>
      </c>
      <c r="I42" s="144" t="s">
        <v>442</v>
      </c>
      <c r="J42" s="144" t="s">
        <v>441</v>
      </c>
      <c r="K42" s="144">
        <v>380</v>
      </c>
      <c r="L42" s="220"/>
      <c r="M42" s="115" t="s">
        <v>443</v>
      </c>
      <c r="N42" s="115" t="s">
        <v>444</v>
      </c>
      <c r="O42" s="144" t="s">
        <v>520</v>
      </c>
      <c r="P42" s="276">
        <v>0.89</v>
      </c>
      <c r="Q42" s="276">
        <v>0.85</v>
      </c>
      <c r="R42" s="276">
        <v>0.75</v>
      </c>
    </row>
    <row r="43" spans="1:18">
      <c r="A43" s="369">
        <f>+A42+1</f>
        <v>18</v>
      </c>
      <c r="B43" s="314" t="s">
        <v>81</v>
      </c>
      <c r="C43" s="371" t="s">
        <v>23</v>
      </c>
      <c r="D43" s="314" t="s">
        <v>132</v>
      </c>
      <c r="E43" s="314" t="s">
        <v>242</v>
      </c>
      <c r="F43" s="396" t="s">
        <v>552</v>
      </c>
      <c r="G43" s="314">
        <v>380</v>
      </c>
      <c r="H43" s="303" t="s">
        <v>304</v>
      </c>
      <c r="I43" s="303" t="s">
        <v>301</v>
      </c>
      <c r="J43" s="126" t="s">
        <v>289</v>
      </c>
      <c r="K43" s="129" t="s">
        <v>308</v>
      </c>
      <c r="L43" s="221"/>
      <c r="M43" s="346" t="s">
        <v>306</v>
      </c>
      <c r="N43" s="347" t="s">
        <v>305</v>
      </c>
      <c r="O43" s="275"/>
      <c r="P43" s="277"/>
    </row>
    <row r="44" spans="1:18">
      <c r="A44" s="382"/>
      <c r="B44" s="350"/>
      <c r="C44" s="383"/>
      <c r="D44" s="350"/>
      <c r="E44" s="350"/>
      <c r="F44" s="350"/>
      <c r="G44" s="350"/>
      <c r="H44" s="310"/>
      <c r="I44" s="310"/>
      <c r="J44" s="127" t="s">
        <v>288</v>
      </c>
      <c r="K44" s="119" t="s">
        <v>309</v>
      </c>
      <c r="L44" s="206"/>
      <c r="M44" s="310"/>
      <c r="N44" s="408"/>
      <c r="O44" s="119"/>
      <c r="P44"/>
    </row>
    <row r="45" spans="1:18" ht="15" thickBot="1">
      <c r="A45" s="370"/>
      <c r="B45" s="315"/>
      <c r="C45" s="372"/>
      <c r="D45" s="315"/>
      <c r="E45" s="315"/>
      <c r="F45" s="315"/>
      <c r="G45" s="315"/>
      <c r="H45" s="304"/>
      <c r="I45" s="304"/>
      <c r="J45" s="128" t="s">
        <v>307</v>
      </c>
      <c r="K45" s="130">
        <v>356</v>
      </c>
      <c r="L45" s="207"/>
      <c r="M45" s="304"/>
      <c r="N45" s="306"/>
      <c r="O45" s="130"/>
      <c r="P45"/>
    </row>
    <row r="46" spans="1:18" ht="15" thickBot="1">
      <c r="A46" s="90">
        <f>+A43+1</f>
        <v>19</v>
      </c>
      <c r="B46" s="89" t="s">
        <v>82</v>
      </c>
      <c r="C46" s="91" t="s">
        <v>24</v>
      </c>
      <c r="D46" s="89" t="s">
        <v>132</v>
      </c>
      <c r="E46" s="89" t="s">
        <v>242</v>
      </c>
      <c r="F46" s="247" t="s">
        <v>224</v>
      </c>
      <c r="G46" s="89" t="s">
        <v>168</v>
      </c>
      <c r="H46" s="132" t="s">
        <v>551</v>
      </c>
      <c r="I46" s="132"/>
      <c r="J46" s="132"/>
      <c r="K46" s="132"/>
      <c r="L46" s="222">
        <v>100</v>
      </c>
      <c r="M46" s="133"/>
      <c r="N46" s="83" t="s">
        <v>575</v>
      </c>
      <c r="O46" s="132"/>
      <c r="P46" s="276">
        <v>0.96</v>
      </c>
      <c r="Q46" s="276">
        <v>0.85</v>
      </c>
      <c r="R46" s="276">
        <v>0.75</v>
      </c>
    </row>
    <row r="47" spans="1:18" ht="43.8" thickBot="1">
      <c r="A47" s="139">
        <f>+A46+1</f>
        <v>20</v>
      </c>
      <c r="B47" s="109" t="s">
        <v>83</v>
      </c>
      <c r="C47" s="140" t="s">
        <v>25</v>
      </c>
      <c r="D47" s="109" t="s">
        <v>133</v>
      </c>
      <c r="E47" s="109" t="s">
        <v>242</v>
      </c>
      <c r="F47" s="109"/>
      <c r="G47" s="109" t="s">
        <v>517</v>
      </c>
      <c r="H47" s="141" t="s">
        <v>313</v>
      </c>
      <c r="I47" s="141"/>
      <c r="J47" s="141" t="s">
        <v>312</v>
      </c>
      <c r="K47" s="141">
        <v>356</v>
      </c>
      <c r="L47" s="141"/>
      <c r="M47" s="142" t="s">
        <v>310</v>
      </c>
      <c r="N47" s="143" t="s">
        <v>311</v>
      </c>
      <c r="O47" s="141"/>
      <c r="P47"/>
    </row>
    <row r="48" spans="1:18" ht="15" thickBot="1">
      <c r="A48" s="134">
        <f t="shared" si="0"/>
        <v>21</v>
      </c>
      <c r="B48" s="89" t="s">
        <v>84</v>
      </c>
      <c r="C48" s="135" t="s">
        <v>26</v>
      </c>
      <c r="D48" s="136" t="s">
        <v>131</v>
      </c>
      <c r="E48" s="136" t="s">
        <v>242</v>
      </c>
      <c r="F48" s="136"/>
      <c r="G48" s="136" t="s">
        <v>517</v>
      </c>
      <c r="H48" s="137"/>
      <c r="I48" s="137"/>
      <c r="J48" s="137"/>
      <c r="K48" s="137"/>
      <c r="L48" s="137"/>
      <c r="M48" s="138"/>
      <c r="N48" s="138"/>
      <c r="O48" s="137"/>
      <c r="P48"/>
    </row>
    <row r="49" spans="1:18">
      <c r="A49" s="369">
        <f>+A48+1</f>
        <v>22</v>
      </c>
      <c r="B49" s="314" t="s">
        <v>85</v>
      </c>
      <c r="C49" s="371" t="s">
        <v>27</v>
      </c>
      <c r="D49" s="314" t="s">
        <v>131</v>
      </c>
      <c r="E49" s="314" t="s">
        <v>242</v>
      </c>
      <c r="F49" s="92"/>
      <c r="G49" s="314" t="s">
        <v>168</v>
      </c>
      <c r="H49" s="303" t="s">
        <v>303</v>
      </c>
      <c r="I49" s="303" t="s">
        <v>301</v>
      </c>
      <c r="J49" s="117" t="s">
        <v>296</v>
      </c>
      <c r="K49" s="120" t="s">
        <v>180</v>
      </c>
      <c r="L49" s="166"/>
      <c r="M49" s="346" t="s">
        <v>300</v>
      </c>
      <c r="N49" s="347" t="s">
        <v>316</v>
      </c>
      <c r="O49" s="120"/>
      <c r="P49"/>
    </row>
    <row r="50" spans="1:18">
      <c r="A50" s="382"/>
      <c r="B50" s="350"/>
      <c r="C50" s="383"/>
      <c r="D50" s="350"/>
      <c r="E50" s="350"/>
      <c r="F50" s="89"/>
      <c r="G50" s="350"/>
      <c r="H50" s="310"/>
      <c r="I50" s="310"/>
      <c r="J50" s="118" t="s">
        <v>297</v>
      </c>
      <c r="K50" s="106" t="s">
        <v>180</v>
      </c>
      <c r="L50" s="144"/>
      <c r="M50" s="310"/>
      <c r="N50" s="348"/>
      <c r="O50" s="106"/>
      <c r="P50"/>
    </row>
    <row r="51" spans="1:18">
      <c r="A51" s="382"/>
      <c r="B51" s="350"/>
      <c r="C51" s="383"/>
      <c r="D51" s="350"/>
      <c r="E51" s="350"/>
      <c r="F51" s="89"/>
      <c r="G51" s="350"/>
      <c r="H51" s="310"/>
      <c r="I51" s="310"/>
      <c r="J51" s="119" t="s">
        <v>298</v>
      </c>
      <c r="K51" s="106">
        <v>380</v>
      </c>
      <c r="L51" s="144"/>
      <c r="M51" s="310"/>
      <c r="N51" s="348"/>
      <c r="O51" s="106"/>
      <c r="P51"/>
    </row>
    <row r="52" spans="1:18">
      <c r="A52" s="382"/>
      <c r="B52" s="350"/>
      <c r="C52" s="383"/>
      <c r="D52" s="350"/>
      <c r="E52" s="350"/>
      <c r="F52" s="89"/>
      <c r="G52" s="350"/>
      <c r="H52" s="310"/>
      <c r="I52" s="310"/>
      <c r="J52" s="118" t="s">
        <v>286</v>
      </c>
      <c r="K52" s="106">
        <v>380</v>
      </c>
      <c r="L52" s="144"/>
      <c r="M52" s="310"/>
      <c r="N52" s="348"/>
      <c r="O52" s="106"/>
      <c r="P52"/>
    </row>
    <row r="53" spans="1:18">
      <c r="A53" s="382"/>
      <c r="B53" s="350"/>
      <c r="C53" s="383"/>
      <c r="D53" s="350"/>
      <c r="E53" s="350"/>
      <c r="F53" s="89"/>
      <c r="G53" s="350"/>
      <c r="H53" s="310"/>
      <c r="I53" s="310"/>
      <c r="J53" s="118" t="s">
        <v>299</v>
      </c>
      <c r="K53" s="106" t="s">
        <v>180</v>
      </c>
      <c r="L53" s="144"/>
      <c r="M53" s="310"/>
      <c r="N53" s="348"/>
      <c r="O53" s="106"/>
      <c r="P53"/>
    </row>
    <row r="54" spans="1:18" ht="15" thickBot="1">
      <c r="A54" s="382"/>
      <c r="B54" s="350"/>
      <c r="C54" s="372"/>
      <c r="D54" s="350"/>
      <c r="E54" s="350"/>
      <c r="F54" s="89"/>
      <c r="G54" s="350"/>
      <c r="H54" s="310"/>
      <c r="I54" s="310"/>
      <c r="J54" s="150" t="s">
        <v>288</v>
      </c>
      <c r="K54" s="151">
        <v>380</v>
      </c>
      <c r="L54" s="144"/>
      <c r="M54" s="310"/>
      <c r="N54" s="348"/>
      <c r="O54" s="151"/>
      <c r="P54"/>
    </row>
    <row r="55" spans="1:18">
      <c r="A55" s="392">
        <f>+A49+1</f>
        <v>23</v>
      </c>
      <c r="B55" s="322" t="s">
        <v>86</v>
      </c>
      <c r="C55" s="371" t="s">
        <v>28</v>
      </c>
      <c r="D55" s="322" t="s">
        <v>131</v>
      </c>
      <c r="E55" s="322" t="s">
        <v>242</v>
      </c>
      <c r="F55" s="43"/>
      <c r="G55" s="322" t="s">
        <v>168</v>
      </c>
      <c r="H55" s="325" t="s">
        <v>318</v>
      </c>
      <c r="I55" s="325" t="s">
        <v>317</v>
      </c>
      <c r="J55" s="117" t="s">
        <v>289</v>
      </c>
      <c r="K55" s="153">
        <v>380</v>
      </c>
      <c r="L55" s="153"/>
      <c r="M55" s="333" t="s">
        <v>314</v>
      </c>
      <c r="N55" s="342" t="s">
        <v>302</v>
      </c>
      <c r="O55" s="153"/>
      <c r="P55"/>
    </row>
    <row r="56" spans="1:18" ht="15" thickBot="1">
      <c r="A56" s="394"/>
      <c r="B56" s="324"/>
      <c r="C56" s="372"/>
      <c r="D56" s="324"/>
      <c r="E56" s="324"/>
      <c r="F56" s="48"/>
      <c r="G56" s="324"/>
      <c r="H56" s="327"/>
      <c r="I56" s="327"/>
      <c r="J56" s="154" t="s">
        <v>446</v>
      </c>
      <c r="K56" s="154">
        <v>380</v>
      </c>
      <c r="L56" s="154"/>
      <c r="M56" s="327"/>
      <c r="N56" s="344"/>
      <c r="O56" s="154"/>
      <c r="P56"/>
    </row>
    <row r="57" spans="1:18" ht="15" thickBot="1">
      <c r="A57" s="108">
        <f>+A55+1</f>
        <v>24</v>
      </c>
      <c r="B57" s="109" t="s">
        <v>87</v>
      </c>
      <c r="C57" s="110" t="s">
        <v>29</v>
      </c>
      <c r="D57" s="111" t="s">
        <v>131</v>
      </c>
      <c r="E57" s="111" t="s">
        <v>242</v>
      </c>
      <c r="F57" s="111"/>
      <c r="G57" s="111" t="s">
        <v>517</v>
      </c>
      <c r="H57" s="175"/>
      <c r="I57" s="175"/>
      <c r="J57" s="175"/>
      <c r="K57" s="175"/>
      <c r="L57" s="175"/>
      <c r="M57" s="176"/>
      <c r="N57" s="177"/>
      <c r="O57" s="175"/>
      <c r="P57"/>
    </row>
    <row r="58" spans="1:18" ht="15" thickBot="1">
      <c r="A58" s="369">
        <f>+A57+1</f>
        <v>25</v>
      </c>
      <c r="B58" s="314" t="s">
        <v>88</v>
      </c>
      <c r="C58" s="371" t="s">
        <v>572</v>
      </c>
      <c r="D58" s="314" t="s">
        <v>133</v>
      </c>
      <c r="E58" s="314" t="s">
        <v>241</v>
      </c>
      <c r="F58" s="349" t="s">
        <v>224</v>
      </c>
      <c r="G58" s="314" t="s">
        <v>517</v>
      </c>
      <c r="H58" s="303" t="s">
        <v>453</v>
      </c>
      <c r="I58" s="303" t="s">
        <v>452</v>
      </c>
      <c r="J58" s="112" t="s">
        <v>307</v>
      </c>
      <c r="K58" s="112">
        <v>380</v>
      </c>
      <c r="L58" s="307">
        <v>25</v>
      </c>
      <c r="M58" s="239" t="s">
        <v>570</v>
      </c>
      <c r="N58" s="305" t="s">
        <v>569</v>
      </c>
      <c r="O58" s="345" t="s">
        <v>520</v>
      </c>
      <c r="P58" s="276">
        <v>0.86</v>
      </c>
      <c r="Q58" s="276">
        <v>0.85</v>
      </c>
      <c r="R58" s="276">
        <v>0.75</v>
      </c>
    </row>
    <row r="59" spans="1:18" s="170" customFormat="1" ht="15" thickBot="1">
      <c r="A59" s="370"/>
      <c r="B59" s="315"/>
      <c r="C59" s="372"/>
      <c r="D59" s="315"/>
      <c r="E59" s="315"/>
      <c r="F59" s="315"/>
      <c r="G59" s="315"/>
      <c r="H59" s="304"/>
      <c r="I59" s="304"/>
      <c r="J59" s="141" t="s">
        <v>445</v>
      </c>
      <c r="K59" s="141">
        <v>380</v>
      </c>
      <c r="L59" s="309"/>
      <c r="M59" s="240" t="s">
        <v>571</v>
      </c>
      <c r="N59" s="306"/>
      <c r="O59" s="318"/>
    </row>
    <row r="60" spans="1:18" ht="43.8" thickBot="1">
      <c r="A60" s="90">
        <f>+A58+1</f>
        <v>26</v>
      </c>
      <c r="B60" s="89" t="s">
        <v>89</v>
      </c>
      <c r="C60" s="91" t="s">
        <v>31</v>
      </c>
      <c r="D60" s="89" t="s">
        <v>131</v>
      </c>
      <c r="E60" s="89" t="s">
        <v>242</v>
      </c>
      <c r="F60" s="89"/>
      <c r="G60" s="89" t="s">
        <v>517</v>
      </c>
      <c r="H60" s="132" t="s">
        <v>415</v>
      </c>
      <c r="I60" s="132">
        <v>5528227733</v>
      </c>
      <c r="J60" s="132" t="s">
        <v>412</v>
      </c>
      <c r="K60" s="132" t="s">
        <v>176</v>
      </c>
      <c r="L60" s="132"/>
      <c r="M60" s="133" t="s">
        <v>413</v>
      </c>
      <c r="N60" s="83" t="s">
        <v>414</v>
      </c>
      <c r="O60" s="132"/>
      <c r="P60"/>
    </row>
    <row r="61" spans="1:18">
      <c r="A61" s="392">
        <f>+A60+1</f>
        <v>27</v>
      </c>
      <c r="B61" s="322" t="s">
        <v>90</v>
      </c>
      <c r="C61" s="384" t="s">
        <v>32</v>
      </c>
      <c r="D61" s="322" t="s">
        <v>131</v>
      </c>
      <c r="E61" s="322" t="s">
        <v>242</v>
      </c>
      <c r="F61" s="43"/>
      <c r="G61" s="322" t="s">
        <v>168</v>
      </c>
      <c r="H61" s="325" t="s">
        <v>329</v>
      </c>
      <c r="I61" s="325" t="s">
        <v>331</v>
      </c>
      <c r="J61" s="104" t="s">
        <v>284</v>
      </c>
      <c r="K61" s="153">
        <v>356</v>
      </c>
      <c r="L61" s="153"/>
      <c r="M61" s="341" t="s">
        <v>333</v>
      </c>
      <c r="N61" s="342" t="s">
        <v>330</v>
      </c>
      <c r="O61" s="153"/>
      <c r="P61"/>
    </row>
    <row r="62" spans="1:18" ht="15" thickBot="1">
      <c r="A62" s="394"/>
      <c r="B62" s="324"/>
      <c r="C62" s="385"/>
      <c r="D62" s="324"/>
      <c r="E62" s="324"/>
      <c r="F62" s="48"/>
      <c r="G62" s="324"/>
      <c r="H62" s="327"/>
      <c r="I62" s="327"/>
      <c r="J62" s="105" t="s">
        <v>332</v>
      </c>
      <c r="K62" s="154">
        <v>356</v>
      </c>
      <c r="L62" s="154"/>
      <c r="M62" s="327"/>
      <c r="N62" s="338"/>
      <c r="O62" s="154"/>
      <c r="P62"/>
    </row>
    <row r="63" spans="1:18">
      <c r="A63" s="382">
        <f>+A61+1</f>
        <v>28</v>
      </c>
      <c r="B63" s="350" t="s">
        <v>91</v>
      </c>
      <c r="C63" s="383" t="s">
        <v>33</v>
      </c>
      <c r="D63" s="350" t="s">
        <v>131</v>
      </c>
      <c r="E63" s="350" t="s">
        <v>242</v>
      </c>
      <c r="F63" s="89"/>
      <c r="G63" s="350" t="s">
        <v>168</v>
      </c>
      <c r="H63" s="310" t="s">
        <v>324</v>
      </c>
      <c r="I63" s="356" t="s">
        <v>323</v>
      </c>
      <c r="J63" s="156" t="s">
        <v>307</v>
      </c>
      <c r="K63" s="131">
        <v>356</v>
      </c>
      <c r="L63" s="132"/>
      <c r="M63" s="423" t="s">
        <v>322</v>
      </c>
      <c r="N63" s="408" t="s">
        <v>321</v>
      </c>
      <c r="O63" s="131"/>
      <c r="P63"/>
    </row>
    <row r="64" spans="1:18">
      <c r="A64" s="382"/>
      <c r="B64" s="350"/>
      <c r="C64" s="383"/>
      <c r="D64" s="350"/>
      <c r="E64" s="350"/>
      <c r="F64" s="89"/>
      <c r="G64" s="350"/>
      <c r="H64" s="310"/>
      <c r="I64" s="326"/>
      <c r="J64" s="103" t="s">
        <v>307</v>
      </c>
      <c r="K64" s="127">
        <v>380</v>
      </c>
      <c r="L64" s="132"/>
      <c r="M64" s="310"/>
      <c r="N64" s="408"/>
      <c r="O64" s="127"/>
      <c r="P64"/>
    </row>
    <row r="65" spans="1:18">
      <c r="A65" s="382"/>
      <c r="B65" s="350"/>
      <c r="C65" s="383"/>
      <c r="D65" s="350"/>
      <c r="E65" s="350"/>
      <c r="F65" s="89"/>
      <c r="G65" s="350"/>
      <c r="H65" s="310"/>
      <c r="I65" s="326"/>
      <c r="J65" s="103" t="s">
        <v>307</v>
      </c>
      <c r="K65" s="127" t="s">
        <v>180</v>
      </c>
      <c r="L65" s="132"/>
      <c r="M65" s="310"/>
      <c r="N65" s="408"/>
      <c r="O65" s="127"/>
      <c r="P65"/>
    </row>
    <row r="66" spans="1:18" ht="15" thickBot="1">
      <c r="A66" s="382"/>
      <c r="B66" s="350"/>
      <c r="C66" s="383"/>
      <c r="D66" s="350"/>
      <c r="E66" s="350"/>
      <c r="F66" s="89"/>
      <c r="G66" s="350"/>
      <c r="H66" s="310"/>
      <c r="I66" s="362"/>
      <c r="J66" s="171" t="s">
        <v>319</v>
      </c>
      <c r="K66" s="169" t="s">
        <v>320</v>
      </c>
      <c r="L66" s="132"/>
      <c r="M66" s="310"/>
      <c r="N66" s="408"/>
      <c r="O66" s="169"/>
      <c r="P66"/>
    </row>
    <row r="67" spans="1:18">
      <c r="A67" s="369">
        <f>+A63+1</f>
        <v>29</v>
      </c>
      <c r="B67" s="314" t="s">
        <v>92</v>
      </c>
      <c r="C67" s="371" t="s">
        <v>34</v>
      </c>
      <c r="D67" s="314" t="s">
        <v>131</v>
      </c>
      <c r="E67" s="314" t="s">
        <v>242</v>
      </c>
      <c r="F67" s="92"/>
      <c r="G67" s="314" t="s">
        <v>517</v>
      </c>
      <c r="H67" s="303" t="s">
        <v>420</v>
      </c>
      <c r="I67" s="303">
        <v>5527276464</v>
      </c>
      <c r="J67" s="104" t="s">
        <v>422</v>
      </c>
      <c r="K67" s="153">
        <v>553</v>
      </c>
      <c r="L67" s="153"/>
      <c r="M67" s="341" t="s">
        <v>417</v>
      </c>
      <c r="N67" s="421" t="s">
        <v>421</v>
      </c>
      <c r="O67" s="153"/>
      <c r="P67"/>
    </row>
    <row r="68" spans="1:18" ht="15" thickBot="1">
      <c r="A68" s="370"/>
      <c r="B68" s="315"/>
      <c r="C68" s="372"/>
      <c r="D68" s="315"/>
      <c r="E68" s="315"/>
      <c r="F68" s="95"/>
      <c r="G68" s="315"/>
      <c r="H68" s="304"/>
      <c r="I68" s="304"/>
      <c r="J68" s="165" t="s">
        <v>423</v>
      </c>
      <c r="K68" s="165" t="s">
        <v>172</v>
      </c>
      <c r="L68" s="165"/>
      <c r="M68" s="327"/>
      <c r="N68" s="422"/>
      <c r="O68" s="165"/>
      <c r="P68"/>
    </row>
    <row r="69" spans="1:18" s="170" customFormat="1" ht="30.75" customHeight="1" thickBot="1">
      <c r="A69" s="94">
        <f>+A67+1</f>
        <v>30</v>
      </c>
      <c r="B69" s="95" t="s">
        <v>93</v>
      </c>
      <c r="C69" s="96" t="s">
        <v>35</v>
      </c>
      <c r="D69" s="95" t="s">
        <v>131</v>
      </c>
      <c r="E69" s="95" t="s">
        <v>242</v>
      </c>
      <c r="F69" s="95"/>
      <c r="G69" s="95" t="s">
        <v>517</v>
      </c>
      <c r="H69" s="149" t="s">
        <v>416</v>
      </c>
      <c r="I69" s="149">
        <v>5552170057</v>
      </c>
      <c r="J69" s="172" t="s">
        <v>419</v>
      </c>
      <c r="K69" s="149" t="s">
        <v>176</v>
      </c>
      <c r="L69" s="149"/>
      <c r="M69" s="173" t="s">
        <v>417</v>
      </c>
      <c r="N69" s="174" t="s">
        <v>418</v>
      </c>
      <c r="O69" s="149"/>
    </row>
    <row r="70" spans="1:18" ht="15" thickBot="1">
      <c r="A70" s="369">
        <f>+A69+1</f>
        <v>31</v>
      </c>
      <c r="B70" s="314" t="s">
        <v>94</v>
      </c>
      <c r="C70" s="371" t="s">
        <v>36</v>
      </c>
      <c r="D70" s="314" t="s">
        <v>131</v>
      </c>
      <c r="E70" s="314" t="s">
        <v>241</v>
      </c>
      <c r="F70" s="263" t="s">
        <v>224</v>
      </c>
      <c r="G70" s="314" t="s">
        <v>168</v>
      </c>
      <c r="H70" s="303" t="s">
        <v>327</v>
      </c>
      <c r="I70" s="303" t="s">
        <v>326</v>
      </c>
      <c r="J70" s="120" t="s">
        <v>296</v>
      </c>
      <c r="K70" s="120" t="s">
        <v>180</v>
      </c>
      <c r="L70" s="224">
        <v>60</v>
      </c>
      <c r="M70" s="419" t="s">
        <v>328</v>
      </c>
      <c r="N70" s="347" t="s">
        <v>325</v>
      </c>
      <c r="O70" s="126" t="s">
        <v>594</v>
      </c>
      <c r="P70" s="276">
        <v>0.97</v>
      </c>
      <c r="Q70" s="276">
        <v>0.85</v>
      </c>
      <c r="R70" s="276">
        <v>0.75</v>
      </c>
    </row>
    <row r="71" spans="1:18">
      <c r="A71" s="382"/>
      <c r="B71" s="350"/>
      <c r="C71" s="383"/>
      <c r="D71" s="350"/>
      <c r="E71" s="350"/>
      <c r="F71" s="89"/>
      <c r="G71" s="350"/>
      <c r="H71" s="310"/>
      <c r="I71" s="310"/>
      <c r="J71" s="106" t="s">
        <v>299</v>
      </c>
      <c r="K71" s="106" t="s">
        <v>180</v>
      </c>
      <c r="L71" s="144"/>
      <c r="M71" s="310"/>
      <c r="N71" s="348"/>
      <c r="O71" s="106"/>
      <c r="P71"/>
    </row>
    <row r="72" spans="1:18">
      <c r="A72" s="382"/>
      <c r="B72" s="350"/>
      <c r="C72" s="383"/>
      <c r="D72" s="350"/>
      <c r="E72" s="350"/>
      <c r="F72" s="89"/>
      <c r="G72" s="350"/>
      <c r="H72" s="310"/>
      <c r="I72" s="310"/>
      <c r="J72" s="106" t="s">
        <v>288</v>
      </c>
      <c r="K72" s="106" t="s">
        <v>180</v>
      </c>
      <c r="L72" s="144"/>
      <c r="M72" s="310"/>
      <c r="N72" s="348"/>
      <c r="O72" s="106"/>
      <c r="P72"/>
    </row>
    <row r="73" spans="1:18">
      <c r="A73" s="382"/>
      <c r="B73" s="350"/>
      <c r="C73" s="383"/>
      <c r="D73" s="350"/>
      <c r="E73" s="350"/>
      <c r="F73" s="89"/>
      <c r="G73" s="350"/>
      <c r="H73" s="310"/>
      <c r="I73" s="310"/>
      <c r="J73" s="106" t="s">
        <v>289</v>
      </c>
      <c r="K73" s="106" t="s">
        <v>180</v>
      </c>
      <c r="L73" s="144"/>
      <c r="M73" s="310"/>
      <c r="N73" s="348"/>
      <c r="O73" s="106"/>
      <c r="P73"/>
    </row>
    <row r="74" spans="1:18" ht="15" thickBot="1">
      <c r="A74" s="370"/>
      <c r="B74" s="315"/>
      <c r="C74" s="372"/>
      <c r="D74" s="315"/>
      <c r="E74" s="315"/>
      <c r="F74" s="95"/>
      <c r="G74" s="315"/>
      <c r="H74" s="304"/>
      <c r="I74" s="304"/>
      <c r="J74" s="123" t="s">
        <v>307</v>
      </c>
      <c r="K74" s="123" t="s">
        <v>186</v>
      </c>
      <c r="L74" s="168"/>
      <c r="M74" s="304"/>
      <c r="N74" s="366"/>
      <c r="O74" s="123"/>
      <c r="P74"/>
    </row>
    <row r="75" spans="1:18" ht="15" thickBot="1">
      <c r="A75" s="134">
        <f>+A70+1</f>
        <v>32</v>
      </c>
      <c r="B75" s="89" t="s">
        <v>95</v>
      </c>
      <c r="C75" s="135" t="s">
        <v>37</v>
      </c>
      <c r="D75" s="136" t="s">
        <v>133</v>
      </c>
      <c r="E75" s="136" t="s">
        <v>242</v>
      </c>
      <c r="F75" s="136"/>
      <c r="G75" s="136" t="s">
        <v>517</v>
      </c>
      <c r="H75" s="137"/>
      <c r="I75" s="137"/>
      <c r="J75" s="137"/>
      <c r="K75" s="137"/>
      <c r="L75" s="137"/>
      <c r="M75" s="138"/>
      <c r="N75" s="138"/>
      <c r="O75" s="137"/>
      <c r="P75"/>
    </row>
    <row r="76" spans="1:18">
      <c r="A76" s="369">
        <f>+A75+1</f>
        <v>33</v>
      </c>
      <c r="B76" s="314" t="s">
        <v>96</v>
      </c>
      <c r="C76" s="371" t="s">
        <v>38</v>
      </c>
      <c r="D76" s="314" t="s">
        <v>131</v>
      </c>
      <c r="E76" s="314" t="s">
        <v>242</v>
      </c>
      <c r="F76" s="351" t="s">
        <v>554</v>
      </c>
      <c r="G76" s="314" t="s">
        <v>517</v>
      </c>
      <c r="H76" s="303" t="s">
        <v>390</v>
      </c>
      <c r="I76" s="303" t="s">
        <v>391</v>
      </c>
      <c r="J76" s="120" t="s">
        <v>393</v>
      </c>
      <c r="K76" s="124"/>
      <c r="L76" s="225"/>
      <c r="M76" s="346" t="s">
        <v>404</v>
      </c>
      <c r="N76" s="347" t="s">
        <v>405</v>
      </c>
      <c r="O76" s="120"/>
      <c r="P76"/>
    </row>
    <row r="77" spans="1:18">
      <c r="A77" s="382"/>
      <c r="B77" s="350"/>
      <c r="C77" s="383"/>
      <c r="D77" s="350"/>
      <c r="E77" s="350"/>
      <c r="F77" s="350"/>
      <c r="G77" s="350"/>
      <c r="H77" s="310"/>
      <c r="I77" s="310"/>
      <c r="J77" s="146" t="s">
        <v>394</v>
      </c>
      <c r="K77" s="76"/>
      <c r="L77" s="137"/>
      <c r="M77" s="310"/>
      <c r="N77" s="408"/>
      <c r="O77" s="146"/>
      <c r="P77"/>
    </row>
    <row r="78" spans="1:18">
      <c r="A78" s="382"/>
      <c r="B78" s="350"/>
      <c r="C78" s="383"/>
      <c r="D78" s="350"/>
      <c r="E78" s="350"/>
      <c r="F78" s="350"/>
      <c r="G78" s="350"/>
      <c r="H78" s="310"/>
      <c r="I78" s="310"/>
      <c r="J78" s="146" t="s">
        <v>395</v>
      </c>
      <c r="K78" s="76"/>
      <c r="L78" s="137"/>
      <c r="M78" s="310"/>
      <c r="N78" s="408"/>
      <c r="O78" s="146"/>
      <c r="P78"/>
    </row>
    <row r="79" spans="1:18">
      <c r="A79" s="382"/>
      <c r="B79" s="350"/>
      <c r="C79" s="383"/>
      <c r="D79" s="350"/>
      <c r="E79" s="350"/>
      <c r="F79" s="350"/>
      <c r="G79" s="350"/>
      <c r="H79" s="310"/>
      <c r="I79" s="310"/>
      <c r="J79" s="146" t="s">
        <v>396</v>
      </c>
      <c r="K79" s="76"/>
      <c r="L79" s="137"/>
      <c r="M79" s="310"/>
      <c r="N79" s="408"/>
      <c r="O79" s="146"/>
      <c r="P79"/>
    </row>
    <row r="80" spans="1:18">
      <c r="A80" s="382"/>
      <c r="B80" s="350"/>
      <c r="C80" s="383"/>
      <c r="D80" s="350"/>
      <c r="E80" s="350"/>
      <c r="F80" s="350"/>
      <c r="G80" s="350"/>
      <c r="H80" s="310"/>
      <c r="I80" s="310"/>
      <c r="J80" s="146" t="s">
        <v>397</v>
      </c>
      <c r="K80" s="76"/>
      <c r="L80" s="137"/>
      <c r="M80" s="310"/>
      <c r="N80" s="408"/>
      <c r="O80" s="146"/>
      <c r="P80"/>
    </row>
    <row r="81" spans="1:18">
      <c r="A81" s="382"/>
      <c r="B81" s="350"/>
      <c r="C81" s="383"/>
      <c r="D81" s="350"/>
      <c r="E81" s="350"/>
      <c r="F81" s="350"/>
      <c r="G81" s="350"/>
      <c r="H81" s="310"/>
      <c r="I81" s="310"/>
      <c r="J81" s="146" t="s">
        <v>398</v>
      </c>
      <c r="K81" s="76"/>
      <c r="L81" s="137"/>
      <c r="M81" s="310"/>
      <c r="N81" s="408"/>
      <c r="O81" s="146"/>
      <c r="P81"/>
    </row>
    <row r="82" spans="1:18">
      <c r="A82" s="382"/>
      <c r="B82" s="350"/>
      <c r="C82" s="383"/>
      <c r="D82" s="350"/>
      <c r="E82" s="350"/>
      <c r="F82" s="350"/>
      <c r="G82" s="350"/>
      <c r="H82" s="310"/>
      <c r="I82" s="310"/>
      <c r="J82" s="146" t="s">
        <v>399</v>
      </c>
      <c r="K82" s="76"/>
      <c r="L82" s="137"/>
      <c r="M82" s="310"/>
      <c r="N82" s="408"/>
      <c r="O82" s="146"/>
      <c r="P82"/>
    </row>
    <row r="83" spans="1:18">
      <c r="A83" s="382"/>
      <c r="B83" s="350"/>
      <c r="C83" s="383"/>
      <c r="D83" s="350"/>
      <c r="E83" s="350"/>
      <c r="F83" s="350"/>
      <c r="G83" s="350"/>
      <c r="H83" s="310"/>
      <c r="I83" s="310"/>
      <c r="J83" s="146" t="s">
        <v>400</v>
      </c>
      <c r="K83" s="76"/>
      <c r="L83" s="137"/>
      <c r="M83" s="310"/>
      <c r="N83" s="408"/>
      <c r="O83" s="146"/>
      <c r="P83"/>
    </row>
    <row r="84" spans="1:18">
      <c r="A84" s="382"/>
      <c r="B84" s="350"/>
      <c r="C84" s="383"/>
      <c r="D84" s="350"/>
      <c r="E84" s="350"/>
      <c r="F84" s="350"/>
      <c r="G84" s="350"/>
      <c r="H84" s="310"/>
      <c r="I84" s="310"/>
      <c r="J84" s="146" t="s">
        <v>401</v>
      </c>
      <c r="K84" s="76"/>
      <c r="L84" s="137"/>
      <c r="M84" s="310"/>
      <c r="N84" s="408"/>
      <c r="O84" s="146"/>
      <c r="P84"/>
    </row>
    <row r="85" spans="1:18">
      <c r="A85" s="382"/>
      <c r="B85" s="350"/>
      <c r="C85" s="383"/>
      <c r="D85" s="350"/>
      <c r="E85" s="350"/>
      <c r="F85" s="350"/>
      <c r="G85" s="350"/>
      <c r="H85" s="310"/>
      <c r="I85" s="310"/>
      <c r="J85" s="146" t="s">
        <v>402</v>
      </c>
      <c r="K85" s="76"/>
      <c r="L85" s="137"/>
      <c r="M85" s="310"/>
      <c r="N85" s="408"/>
      <c r="O85" s="146"/>
      <c r="P85"/>
    </row>
    <row r="86" spans="1:18" ht="15" thickBot="1">
      <c r="A86" s="370"/>
      <c r="B86" s="315"/>
      <c r="C86" s="372"/>
      <c r="D86" s="315"/>
      <c r="E86" s="315"/>
      <c r="F86" s="315"/>
      <c r="G86" s="315"/>
      <c r="H86" s="304"/>
      <c r="I86" s="304"/>
      <c r="J86" s="123" t="s">
        <v>403</v>
      </c>
      <c r="K86" s="125"/>
      <c r="L86" s="208"/>
      <c r="M86" s="304"/>
      <c r="N86" s="306"/>
      <c r="O86" s="123"/>
      <c r="P86"/>
    </row>
    <row r="87" spans="1:18">
      <c r="A87" s="57">
        <f>+A76+1</f>
        <v>34</v>
      </c>
      <c r="B87" s="58" t="s">
        <v>97</v>
      </c>
      <c r="C87" s="59" t="s">
        <v>39</v>
      </c>
      <c r="D87" s="60" t="s">
        <v>133</v>
      </c>
      <c r="E87" s="60" t="s">
        <v>242</v>
      </c>
      <c r="F87" s="60"/>
      <c r="G87" s="60" t="s">
        <v>517</v>
      </c>
      <c r="H87" s="76"/>
      <c r="I87" s="76"/>
      <c r="J87" s="76"/>
      <c r="K87" s="76"/>
      <c r="L87" s="76"/>
      <c r="M87" s="107"/>
      <c r="N87" s="107"/>
      <c r="O87" s="76"/>
      <c r="P87"/>
    </row>
    <row r="88" spans="1:18">
      <c r="A88" s="23">
        <f t="shared" ref="A88:A141" si="1">+A87+1</f>
        <v>35</v>
      </c>
      <c r="B88" s="20" t="s">
        <v>98</v>
      </c>
      <c r="C88" s="21" t="s">
        <v>40</v>
      </c>
      <c r="D88" s="22" t="s">
        <v>132</v>
      </c>
      <c r="E88" s="22" t="s">
        <v>242</v>
      </c>
      <c r="F88" s="22"/>
      <c r="G88" s="22" t="s">
        <v>517</v>
      </c>
      <c r="H88" s="74"/>
      <c r="I88" s="74"/>
      <c r="J88" s="74"/>
      <c r="K88" s="74"/>
      <c r="L88" s="74"/>
      <c r="M88" s="7"/>
      <c r="N88" s="7"/>
      <c r="O88" s="74"/>
      <c r="P88"/>
    </row>
    <row r="89" spans="1:18">
      <c r="A89" s="23">
        <f t="shared" si="1"/>
        <v>36</v>
      </c>
      <c r="B89" s="20" t="s">
        <v>99</v>
      </c>
      <c r="C89" s="21" t="s">
        <v>41</v>
      </c>
      <c r="D89" s="22" t="s">
        <v>133</v>
      </c>
      <c r="E89" s="22" t="s">
        <v>242</v>
      </c>
      <c r="F89" s="22"/>
      <c r="G89" s="22" t="s">
        <v>517</v>
      </c>
      <c r="H89" s="74"/>
      <c r="I89" s="74"/>
      <c r="J89" s="74"/>
      <c r="K89" s="74"/>
      <c r="L89" s="74"/>
      <c r="M89" s="7"/>
      <c r="N89" s="7"/>
      <c r="O89" s="74"/>
      <c r="P89"/>
    </row>
    <row r="90" spans="1:18" ht="15" thickBot="1">
      <c r="A90" s="53">
        <f t="shared" si="1"/>
        <v>37</v>
      </c>
      <c r="B90" s="54" t="s">
        <v>100</v>
      </c>
      <c r="C90" s="55" t="s">
        <v>42</v>
      </c>
      <c r="D90" s="56" t="s">
        <v>131</v>
      </c>
      <c r="E90" s="56" t="s">
        <v>242</v>
      </c>
      <c r="F90" s="56"/>
      <c r="G90" s="56" t="s">
        <v>517</v>
      </c>
      <c r="H90" s="75"/>
      <c r="I90" s="75"/>
      <c r="J90" s="75"/>
      <c r="K90" s="75"/>
      <c r="L90" s="75"/>
      <c r="M90" s="85"/>
      <c r="N90" s="85"/>
      <c r="O90" s="75"/>
      <c r="P90"/>
    </row>
    <row r="91" spans="1:18">
      <c r="A91" s="369">
        <f>+A90+1</f>
        <v>38</v>
      </c>
      <c r="B91" s="314" t="s">
        <v>101</v>
      </c>
      <c r="C91" s="371" t="s">
        <v>454</v>
      </c>
      <c r="D91" s="314" t="s">
        <v>133</v>
      </c>
      <c r="E91" s="314" t="s">
        <v>241</v>
      </c>
      <c r="F91" s="396" t="s">
        <v>552</v>
      </c>
      <c r="G91" s="314" t="s">
        <v>517</v>
      </c>
      <c r="H91" s="303" t="s">
        <v>447</v>
      </c>
      <c r="I91" s="303"/>
      <c r="J91" s="126" t="s">
        <v>448</v>
      </c>
      <c r="K91" s="126">
        <v>380</v>
      </c>
      <c r="L91" s="217"/>
      <c r="M91" s="303" t="s">
        <v>450</v>
      </c>
      <c r="N91" s="420" t="s">
        <v>451</v>
      </c>
      <c r="O91" s="126" t="s">
        <v>517</v>
      </c>
      <c r="P91" s="276">
        <v>0.9</v>
      </c>
      <c r="Q91" s="276">
        <v>0.85</v>
      </c>
      <c r="R91" s="276">
        <v>0.75</v>
      </c>
    </row>
    <row r="92" spans="1:18">
      <c r="A92" s="382"/>
      <c r="B92" s="350"/>
      <c r="C92" s="383"/>
      <c r="D92" s="350"/>
      <c r="E92" s="350"/>
      <c r="F92" s="350"/>
      <c r="G92" s="350"/>
      <c r="H92" s="310"/>
      <c r="I92" s="310"/>
      <c r="J92" s="127" t="s">
        <v>446</v>
      </c>
      <c r="K92" s="127">
        <v>380</v>
      </c>
      <c r="L92" s="132"/>
      <c r="M92" s="310"/>
      <c r="N92" s="348"/>
      <c r="O92" s="127"/>
      <c r="P92"/>
    </row>
    <row r="93" spans="1:18">
      <c r="A93" s="382"/>
      <c r="B93" s="350"/>
      <c r="C93" s="383"/>
      <c r="D93" s="350"/>
      <c r="E93" s="350"/>
      <c r="F93" s="350"/>
      <c r="G93" s="350"/>
      <c r="H93" s="310"/>
      <c r="I93" s="310"/>
      <c r="J93" s="127" t="s">
        <v>449</v>
      </c>
      <c r="K93" s="127">
        <v>380</v>
      </c>
      <c r="L93" s="132"/>
      <c r="M93" s="310"/>
      <c r="N93" s="348"/>
      <c r="O93" s="127"/>
      <c r="P93"/>
    </row>
    <row r="94" spans="1:18">
      <c r="A94" s="382"/>
      <c r="B94" s="350"/>
      <c r="C94" s="383"/>
      <c r="D94" s="350"/>
      <c r="E94" s="350"/>
      <c r="F94" s="350"/>
      <c r="G94" s="350"/>
      <c r="H94" s="310"/>
      <c r="I94" s="310"/>
      <c r="J94" s="127" t="s">
        <v>312</v>
      </c>
      <c r="K94" s="127">
        <v>380</v>
      </c>
      <c r="L94" s="132"/>
      <c r="M94" s="310"/>
      <c r="N94" s="348"/>
      <c r="O94" s="127"/>
      <c r="P94"/>
    </row>
    <row r="95" spans="1:18" ht="15" thickBot="1">
      <c r="A95" s="370"/>
      <c r="B95" s="315"/>
      <c r="C95" s="372"/>
      <c r="D95" s="315"/>
      <c r="E95" s="315"/>
      <c r="F95" s="315"/>
      <c r="G95" s="315"/>
      <c r="H95" s="304"/>
      <c r="I95" s="304"/>
      <c r="J95" s="128" t="s">
        <v>284</v>
      </c>
      <c r="K95" s="128">
        <v>380</v>
      </c>
      <c r="L95" s="149"/>
      <c r="M95" s="304"/>
      <c r="N95" s="366"/>
      <c r="O95" s="128"/>
      <c r="P95"/>
    </row>
    <row r="96" spans="1:18" ht="15" thickBot="1">
      <c r="A96" s="134">
        <f>+A91+1</f>
        <v>39</v>
      </c>
      <c r="B96" s="89" t="s">
        <v>102</v>
      </c>
      <c r="C96" s="135" t="s">
        <v>44</v>
      </c>
      <c r="D96" s="136" t="s">
        <v>133</v>
      </c>
      <c r="E96" s="136" t="s">
        <v>242</v>
      </c>
      <c r="F96" s="136"/>
      <c r="G96" s="136" t="s">
        <v>517</v>
      </c>
      <c r="H96" s="137"/>
      <c r="I96" s="137"/>
      <c r="J96" s="137"/>
      <c r="K96" s="137"/>
      <c r="L96" s="137"/>
      <c r="M96" s="138"/>
      <c r="N96" s="138"/>
      <c r="O96" s="137"/>
      <c r="P96"/>
    </row>
    <row r="97" spans="1:18">
      <c r="A97" s="392">
        <f>+A96+1</f>
        <v>40</v>
      </c>
      <c r="B97" s="322" t="s">
        <v>103</v>
      </c>
      <c r="C97" s="384" t="s">
        <v>45</v>
      </c>
      <c r="D97" s="322" t="s">
        <v>133</v>
      </c>
      <c r="E97" s="322" t="s">
        <v>242</v>
      </c>
      <c r="F97" s="43"/>
      <c r="G97" s="322" t="s">
        <v>520</v>
      </c>
      <c r="H97" s="340" t="s">
        <v>357</v>
      </c>
      <c r="I97" s="325" t="s">
        <v>356</v>
      </c>
      <c r="J97" s="161" t="s">
        <v>315</v>
      </c>
      <c r="K97" s="161">
        <v>380</v>
      </c>
      <c r="L97" s="161"/>
      <c r="M97" s="341" t="s">
        <v>354</v>
      </c>
      <c r="N97" s="342" t="s">
        <v>355</v>
      </c>
      <c r="O97" s="161"/>
      <c r="P97"/>
    </row>
    <row r="98" spans="1:18">
      <c r="A98" s="393"/>
      <c r="B98" s="323"/>
      <c r="C98" s="395"/>
      <c r="D98" s="323"/>
      <c r="E98" s="323"/>
      <c r="F98" s="20"/>
      <c r="G98" s="323"/>
      <c r="H98" s="413"/>
      <c r="I98" s="326"/>
      <c r="J98" s="157" t="s">
        <v>346</v>
      </c>
      <c r="K98" s="157">
        <v>1000</v>
      </c>
      <c r="L98" s="157"/>
      <c r="M98" s="326"/>
      <c r="N98" s="343"/>
      <c r="O98" s="157"/>
      <c r="P98"/>
    </row>
    <row r="99" spans="1:18">
      <c r="A99" s="393"/>
      <c r="B99" s="323"/>
      <c r="C99" s="395"/>
      <c r="D99" s="323"/>
      <c r="E99" s="323"/>
      <c r="F99" s="20"/>
      <c r="G99" s="323"/>
      <c r="H99" s="413"/>
      <c r="I99" s="326"/>
      <c r="J99" s="157" t="s">
        <v>341</v>
      </c>
      <c r="K99" s="157">
        <v>356</v>
      </c>
      <c r="L99" s="157"/>
      <c r="M99" s="326"/>
      <c r="N99" s="343"/>
      <c r="O99" s="157"/>
      <c r="P99"/>
    </row>
    <row r="100" spans="1:18" ht="15" thickBot="1">
      <c r="A100" s="417"/>
      <c r="B100" s="361"/>
      <c r="C100" s="418"/>
      <c r="D100" s="361"/>
      <c r="E100" s="361"/>
      <c r="F100" s="54"/>
      <c r="G100" s="361"/>
      <c r="H100" s="415"/>
      <c r="I100" s="362"/>
      <c r="J100" s="159" t="s">
        <v>319</v>
      </c>
      <c r="K100" s="159" t="s">
        <v>348</v>
      </c>
      <c r="L100" s="159"/>
      <c r="M100" s="362"/>
      <c r="N100" s="416"/>
      <c r="O100" s="159"/>
      <c r="P100"/>
    </row>
    <row r="101" spans="1:18">
      <c r="A101" s="392">
        <f>+A97+1</f>
        <v>41</v>
      </c>
      <c r="B101" s="322" t="s">
        <v>104</v>
      </c>
      <c r="C101" s="384" t="s">
        <v>46</v>
      </c>
      <c r="D101" s="322" t="s">
        <v>133</v>
      </c>
      <c r="E101" s="322" t="s">
        <v>241</v>
      </c>
      <c r="F101" s="262" t="s">
        <v>224</v>
      </c>
      <c r="G101" s="322" t="s">
        <v>520</v>
      </c>
      <c r="H101" s="340" t="s">
        <v>362</v>
      </c>
      <c r="I101" s="325" t="s">
        <v>360</v>
      </c>
      <c r="J101" s="161" t="s">
        <v>315</v>
      </c>
      <c r="K101" s="161">
        <v>380</v>
      </c>
      <c r="L101" s="219">
        <v>30</v>
      </c>
      <c r="M101" s="341" t="s">
        <v>358</v>
      </c>
      <c r="N101" s="342" t="s">
        <v>359</v>
      </c>
      <c r="O101" s="160" t="s">
        <v>520</v>
      </c>
      <c r="P101" s="276">
        <v>0.9</v>
      </c>
      <c r="Q101" s="276">
        <v>0.85</v>
      </c>
      <c r="R101" s="276">
        <v>0.75</v>
      </c>
    </row>
    <row r="102" spans="1:18">
      <c r="A102" s="393"/>
      <c r="B102" s="323"/>
      <c r="C102" s="395"/>
      <c r="D102" s="323"/>
      <c r="E102" s="323"/>
      <c r="F102" s="20"/>
      <c r="G102" s="323"/>
      <c r="H102" s="413"/>
      <c r="I102" s="326"/>
      <c r="J102" s="157" t="s">
        <v>341</v>
      </c>
      <c r="K102" s="157">
        <v>356</v>
      </c>
      <c r="L102" s="157"/>
      <c r="M102" s="326"/>
      <c r="N102" s="343"/>
      <c r="O102" s="157"/>
      <c r="P102"/>
    </row>
    <row r="103" spans="1:18">
      <c r="A103" s="393"/>
      <c r="B103" s="323"/>
      <c r="C103" s="395"/>
      <c r="D103" s="323"/>
      <c r="E103" s="323"/>
      <c r="F103" s="20"/>
      <c r="G103" s="323"/>
      <c r="H103" s="413"/>
      <c r="I103" s="326"/>
      <c r="J103" s="157" t="s">
        <v>346</v>
      </c>
      <c r="K103" s="157">
        <v>1000</v>
      </c>
      <c r="L103" s="157"/>
      <c r="M103" s="326"/>
      <c r="N103" s="343"/>
      <c r="O103" s="157"/>
      <c r="P103"/>
    </row>
    <row r="104" spans="1:18" ht="15" thickBot="1">
      <c r="A104" s="417"/>
      <c r="B104" s="361"/>
      <c r="C104" s="418"/>
      <c r="D104" s="361"/>
      <c r="E104" s="361"/>
      <c r="F104" s="54"/>
      <c r="G104" s="361"/>
      <c r="H104" s="415"/>
      <c r="I104" s="362"/>
      <c r="J104" s="116" t="s">
        <v>319</v>
      </c>
      <c r="K104" s="116">
        <v>6000</v>
      </c>
      <c r="L104" s="116"/>
      <c r="M104" s="362"/>
      <c r="N104" s="416"/>
      <c r="O104" s="116"/>
      <c r="P104"/>
    </row>
    <row r="105" spans="1:18">
      <c r="A105" s="392">
        <f>+A101+1</f>
        <v>42</v>
      </c>
      <c r="B105" s="322" t="s">
        <v>105</v>
      </c>
      <c r="C105" s="384" t="s">
        <v>47</v>
      </c>
      <c r="D105" s="322" t="s">
        <v>133</v>
      </c>
      <c r="E105" s="322" t="s">
        <v>242</v>
      </c>
      <c r="F105" s="43"/>
      <c r="G105" s="322" t="s">
        <v>517</v>
      </c>
      <c r="H105" s="340" t="s">
        <v>455</v>
      </c>
      <c r="I105" s="325" t="s">
        <v>492</v>
      </c>
      <c r="J105" s="153" t="s">
        <v>446</v>
      </c>
      <c r="K105" s="153">
        <v>380</v>
      </c>
      <c r="L105" s="93"/>
      <c r="M105" s="303"/>
      <c r="N105" s="347"/>
      <c r="O105" s="153"/>
      <c r="P105"/>
    </row>
    <row r="106" spans="1:18">
      <c r="A106" s="393"/>
      <c r="B106" s="323"/>
      <c r="C106" s="395"/>
      <c r="D106" s="323"/>
      <c r="E106" s="323"/>
      <c r="F106" s="20"/>
      <c r="G106" s="323"/>
      <c r="H106" s="413"/>
      <c r="I106" s="326"/>
      <c r="J106" s="152" t="s">
        <v>448</v>
      </c>
      <c r="K106" s="152">
        <v>380</v>
      </c>
      <c r="L106" s="199"/>
      <c r="M106" s="310"/>
      <c r="N106" s="348"/>
      <c r="O106" s="152"/>
      <c r="P106"/>
    </row>
    <row r="107" spans="1:18" ht="15" thickBot="1">
      <c r="A107" s="394"/>
      <c r="B107" s="324"/>
      <c r="C107" s="385"/>
      <c r="D107" s="324"/>
      <c r="E107" s="324"/>
      <c r="F107" s="48"/>
      <c r="G107" s="324"/>
      <c r="H107" s="414"/>
      <c r="I107" s="327"/>
      <c r="J107" s="154" t="s">
        <v>161</v>
      </c>
      <c r="K107" s="154">
        <v>380</v>
      </c>
      <c r="L107" s="200"/>
      <c r="M107" s="304"/>
      <c r="N107" s="366"/>
      <c r="O107" s="154"/>
      <c r="P107"/>
    </row>
    <row r="108" spans="1:18">
      <c r="A108" s="382">
        <f>+A105+1</f>
        <v>43</v>
      </c>
      <c r="B108" s="350" t="s">
        <v>106</v>
      </c>
      <c r="C108" s="383" t="s">
        <v>48</v>
      </c>
      <c r="D108" s="350" t="s">
        <v>133</v>
      </c>
      <c r="E108" s="350" t="s">
        <v>242</v>
      </c>
      <c r="F108" s="89"/>
      <c r="G108" s="350" t="s">
        <v>517</v>
      </c>
      <c r="H108" s="310" t="s">
        <v>344</v>
      </c>
      <c r="I108" s="356" t="s">
        <v>345</v>
      </c>
      <c r="J108" s="178" t="s">
        <v>315</v>
      </c>
      <c r="K108" s="178">
        <v>380</v>
      </c>
      <c r="L108" s="178"/>
      <c r="M108" s="356"/>
      <c r="N108" s="348" t="s">
        <v>347</v>
      </c>
      <c r="O108" s="178"/>
      <c r="P108"/>
    </row>
    <row r="109" spans="1:18">
      <c r="A109" s="382"/>
      <c r="B109" s="350"/>
      <c r="C109" s="383"/>
      <c r="D109" s="350"/>
      <c r="E109" s="350"/>
      <c r="F109" s="89"/>
      <c r="G109" s="350"/>
      <c r="H109" s="310"/>
      <c r="I109" s="326"/>
      <c r="J109" s="157" t="s">
        <v>341</v>
      </c>
      <c r="K109" s="157">
        <v>356</v>
      </c>
      <c r="L109" s="157"/>
      <c r="M109" s="326"/>
      <c r="N109" s="348"/>
      <c r="O109" s="157"/>
      <c r="P109"/>
    </row>
    <row r="110" spans="1:18" ht="14.25" customHeight="1" thickBot="1">
      <c r="A110" s="370"/>
      <c r="B110" s="315"/>
      <c r="C110" s="372"/>
      <c r="D110" s="315"/>
      <c r="E110" s="315"/>
      <c r="F110" s="95"/>
      <c r="G110" s="315"/>
      <c r="H110" s="304"/>
      <c r="I110" s="327"/>
      <c r="J110" s="162" t="s">
        <v>346</v>
      </c>
      <c r="K110" s="162">
        <v>1000</v>
      </c>
      <c r="L110" s="162"/>
      <c r="M110" s="327"/>
      <c r="N110" s="366"/>
      <c r="O110" s="162"/>
      <c r="P110"/>
    </row>
    <row r="111" spans="1:18" ht="14.25" customHeight="1">
      <c r="A111" s="369">
        <f>+A108+1</f>
        <v>44</v>
      </c>
      <c r="B111" s="314" t="s">
        <v>107</v>
      </c>
      <c r="C111" s="371" t="s">
        <v>351</v>
      </c>
      <c r="D111" s="314" t="s">
        <v>133</v>
      </c>
      <c r="E111" s="314" t="s">
        <v>242</v>
      </c>
      <c r="F111" s="92"/>
      <c r="G111" s="314" t="s">
        <v>517</v>
      </c>
      <c r="H111" s="303" t="s">
        <v>352</v>
      </c>
      <c r="I111" s="303" t="s">
        <v>353</v>
      </c>
      <c r="J111" s="160" t="s">
        <v>289</v>
      </c>
      <c r="K111" s="160" t="s">
        <v>180</v>
      </c>
      <c r="L111" s="209"/>
      <c r="M111" s="346" t="s">
        <v>349</v>
      </c>
      <c r="N111" s="347" t="s">
        <v>350</v>
      </c>
      <c r="O111" s="160"/>
      <c r="P111"/>
    </row>
    <row r="112" spans="1:18" ht="14.25" customHeight="1">
      <c r="A112" s="382"/>
      <c r="B112" s="350"/>
      <c r="C112" s="383"/>
      <c r="D112" s="350"/>
      <c r="E112" s="350"/>
      <c r="F112" s="89"/>
      <c r="G112" s="350"/>
      <c r="H112" s="310"/>
      <c r="I112" s="310"/>
      <c r="J112" s="158" t="s">
        <v>315</v>
      </c>
      <c r="K112" s="158">
        <v>380</v>
      </c>
      <c r="L112" s="210"/>
      <c r="M112" s="310"/>
      <c r="N112" s="348"/>
      <c r="O112" s="158"/>
      <c r="P112"/>
    </row>
    <row r="113" spans="1:18" ht="14.25" customHeight="1">
      <c r="A113" s="382"/>
      <c r="B113" s="350"/>
      <c r="C113" s="383"/>
      <c r="D113" s="350"/>
      <c r="E113" s="350"/>
      <c r="F113" s="89"/>
      <c r="G113" s="350"/>
      <c r="H113" s="310"/>
      <c r="I113" s="310"/>
      <c r="J113" s="158" t="s">
        <v>319</v>
      </c>
      <c r="K113" s="158" t="s">
        <v>348</v>
      </c>
      <c r="L113" s="210"/>
      <c r="M113" s="310"/>
      <c r="N113" s="348"/>
      <c r="O113" s="158"/>
      <c r="P113"/>
    </row>
    <row r="114" spans="1:18" ht="15" thickBot="1">
      <c r="A114" s="370"/>
      <c r="B114" s="315"/>
      <c r="C114" s="372"/>
      <c r="D114" s="315"/>
      <c r="E114" s="315"/>
      <c r="F114" s="95"/>
      <c r="G114" s="315"/>
      <c r="H114" s="304"/>
      <c r="I114" s="304"/>
      <c r="J114" s="149" t="s">
        <v>341</v>
      </c>
      <c r="K114" s="149">
        <v>356</v>
      </c>
      <c r="L114" s="149"/>
      <c r="M114" s="304"/>
      <c r="N114" s="366"/>
      <c r="O114" s="149"/>
      <c r="P114"/>
    </row>
    <row r="115" spans="1:18" ht="30.75" customHeight="1" thickBot="1">
      <c r="A115" s="139">
        <f>+A111+1</f>
        <v>45</v>
      </c>
      <c r="B115" s="109" t="s">
        <v>108</v>
      </c>
      <c r="C115" s="140" t="s">
        <v>50</v>
      </c>
      <c r="D115" s="109" t="s">
        <v>133</v>
      </c>
      <c r="E115" s="109" t="s">
        <v>241</v>
      </c>
      <c r="F115" s="268" t="s">
        <v>595</v>
      </c>
      <c r="G115" s="109" t="s">
        <v>517</v>
      </c>
      <c r="H115" s="141" t="s">
        <v>456</v>
      </c>
      <c r="I115" s="141" t="s">
        <v>457</v>
      </c>
      <c r="J115" s="212" t="s">
        <v>319</v>
      </c>
      <c r="K115" s="141">
        <v>380</v>
      </c>
      <c r="L115" s="212"/>
      <c r="M115" s="179" t="s">
        <v>458</v>
      </c>
      <c r="N115" s="143" t="s">
        <v>459</v>
      </c>
      <c r="O115" s="141" t="s">
        <v>520</v>
      </c>
      <c r="P115" s="7"/>
      <c r="Q115" s="7"/>
      <c r="R115" s="7"/>
    </row>
    <row r="116" spans="1:18" s="25" customFormat="1" ht="58.2" thickBot="1">
      <c r="A116" s="90">
        <f t="shared" si="1"/>
        <v>46</v>
      </c>
      <c r="B116" s="89" t="s">
        <v>109</v>
      </c>
      <c r="C116" s="91" t="s">
        <v>51</v>
      </c>
      <c r="D116" s="89" t="s">
        <v>131</v>
      </c>
      <c r="E116" s="89" t="s">
        <v>241</v>
      </c>
      <c r="F116" s="257" t="s">
        <v>554</v>
      </c>
      <c r="G116" s="89" t="s">
        <v>517</v>
      </c>
      <c r="H116" s="132" t="s">
        <v>557</v>
      </c>
      <c r="I116" s="132" t="s">
        <v>558</v>
      </c>
      <c r="J116" s="145" t="s">
        <v>555</v>
      </c>
      <c r="K116" s="132"/>
      <c r="L116" s="222"/>
      <c r="M116" s="199"/>
      <c r="N116" s="83" t="s">
        <v>460</v>
      </c>
      <c r="O116" s="132" t="s">
        <v>520</v>
      </c>
      <c r="P116" s="152"/>
      <c r="Q116" s="152"/>
      <c r="R116" s="152" t="s">
        <v>620</v>
      </c>
    </row>
    <row r="117" spans="1:18">
      <c r="A117" s="369">
        <f>+A116+1</f>
        <v>47</v>
      </c>
      <c r="B117" s="314" t="s">
        <v>110</v>
      </c>
      <c r="C117" s="371" t="s">
        <v>52</v>
      </c>
      <c r="D117" s="314" t="s">
        <v>133</v>
      </c>
      <c r="E117" s="314" t="s">
        <v>242</v>
      </c>
      <c r="F117" s="412" t="s">
        <v>556</v>
      </c>
      <c r="G117" s="314" t="s">
        <v>517</v>
      </c>
      <c r="H117" s="303" t="s">
        <v>361</v>
      </c>
      <c r="I117" s="303" t="s">
        <v>281</v>
      </c>
      <c r="J117" s="126" t="s">
        <v>288</v>
      </c>
      <c r="K117" s="126">
        <v>380</v>
      </c>
      <c r="L117" s="148"/>
      <c r="M117" s="303"/>
      <c r="N117" s="305"/>
      <c r="O117" s="126"/>
      <c r="P117"/>
    </row>
    <row r="118" spans="1:18">
      <c r="A118" s="382"/>
      <c r="B118" s="350"/>
      <c r="C118" s="383"/>
      <c r="D118" s="350"/>
      <c r="E118" s="350"/>
      <c r="F118" s="350"/>
      <c r="G118" s="350"/>
      <c r="H118" s="310"/>
      <c r="I118" s="310"/>
      <c r="J118" s="127" t="s">
        <v>288</v>
      </c>
      <c r="K118" s="127">
        <v>356</v>
      </c>
      <c r="L118" s="132"/>
      <c r="M118" s="310"/>
      <c r="N118" s="408"/>
      <c r="O118" s="127"/>
      <c r="P118"/>
    </row>
    <row r="119" spans="1:18">
      <c r="A119" s="382"/>
      <c r="B119" s="350"/>
      <c r="C119" s="383"/>
      <c r="D119" s="350"/>
      <c r="E119" s="350"/>
      <c r="F119" s="350"/>
      <c r="G119" s="350"/>
      <c r="H119" s="310"/>
      <c r="I119" s="310"/>
      <c r="J119" s="127" t="s">
        <v>315</v>
      </c>
      <c r="K119" s="127">
        <v>380</v>
      </c>
      <c r="L119" s="132"/>
      <c r="M119" s="310"/>
      <c r="N119" s="408"/>
      <c r="O119" s="127"/>
      <c r="P119"/>
    </row>
    <row r="120" spans="1:18" ht="15" thickBot="1">
      <c r="A120" s="370"/>
      <c r="B120" s="315"/>
      <c r="C120" s="372"/>
      <c r="D120" s="315"/>
      <c r="E120" s="315"/>
      <c r="F120" s="315"/>
      <c r="G120" s="315"/>
      <c r="H120" s="304"/>
      <c r="I120" s="304"/>
      <c r="J120" s="128" t="s">
        <v>289</v>
      </c>
      <c r="K120" s="128">
        <v>383</v>
      </c>
      <c r="L120" s="149"/>
      <c r="M120" s="304"/>
      <c r="N120" s="306"/>
      <c r="O120" s="128"/>
      <c r="P120"/>
    </row>
    <row r="121" spans="1:18">
      <c r="A121" s="57">
        <f>+A117+1</f>
        <v>48</v>
      </c>
      <c r="B121" s="58" t="s">
        <v>111</v>
      </c>
      <c r="C121" s="59" t="s">
        <v>53</v>
      </c>
      <c r="D121" s="60" t="s">
        <v>133</v>
      </c>
      <c r="E121" s="60" t="s">
        <v>242</v>
      </c>
      <c r="F121" s="60"/>
      <c r="G121" s="60" t="s">
        <v>168</v>
      </c>
      <c r="H121" s="76"/>
      <c r="I121" s="76"/>
      <c r="J121" s="76"/>
      <c r="K121" s="76"/>
      <c r="L121" s="76"/>
      <c r="M121" s="107"/>
      <c r="N121" s="107"/>
      <c r="O121" s="76"/>
      <c r="P121"/>
    </row>
    <row r="122" spans="1:18">
      <c r="A122" s="23">
        <f t="shared" si="1"/>
        <v>49</v>
      </c>
      <c r="B122" s="20" t="s">
        <v>112</v>
      </c>
      <c r="C122" s="21" t="s">
        <v>54</v>
      </c>
      <c r="D122" s="22" t="s">
        <v>133</v>
      </c>
      <c r="E122" s="22" t="s">
        <v>242</v>
      </c>
      <c r="F122" s="22">
        <v>380</v>
      </c>
      <c r="G122" s="22" t="s">
        <v>517</v>
      </c>
      <c r="H122" s="74"/>
      <c r="I122" s="74"/>
      <c r="J122" s="106" t="s">
        <v>446</v>
      </c>
      <c r="K122" s="106">
        <v>380</v>
      </c>
      <c r="L122" s="106"/>
      <c r="M122" s="7"/>
      <c r="N122" s="7"/>
      <c r="O122" s="106"/>
      <c r="P122"/>
    </row>
    <row r="123" spans="1:18" ht="15" thickBot="1">
      <c r="A123" s="53">
        <f t="shared" si="1"/>
        <v>50</v>
      </c>
      <c r="B123" s="54" t="s">
        <v>113</v>
      </c>
      <c r="C123" s="55" t="s">
        <v>55</v>
      </c>
      <c r="D123" s="56" t="s">
        <v>133</v>
      </c>
      <c r="E123" s="56" t="s">
        <v>242</v>
      </c>
      <c r="F123" s="56"/>
      <c r="G123" s="56" t="s">
        <v>517</v>
      </c>
      <c r="H123" s="75"/>
      <c r="I123" s="75"/>
      <c r="J123" s="75"/>
      <c r="K123" s="75"/>
      <c r="L123" s="75"/>
      <c r="M123" s="85"/>
      <c r="N123" s="85"/>
      <c r="O123" s="75"/>
      <c r="P123"/>
    </row>
    <row r="124" spans="1:18">
      <c r="A124" s="369">
        <f>+A123+1</f>
        <v>51</v>
      </c>
      <c r="B124" s="314" t="s">
        <v>114</v>
      </c>
      <c r="C124" s="371" t="s">
        <v>56</v>
      </c>
      <c r="D124" s="314" t="s">
        <v>131</v>
      </c>
      <c r="E124" s="314" t="s">
        <v>242</v>
      </c>
      <c r="F124" s="351" t="s">
        <v>554</v>
      </c>
      <c r="G124" s="314" t="s">
        <v>517</v>
      </c>
      <c r="H124" s="303" t="s">
        <v>424</v>
      </c>
      <c r="I124" s="409" t="s">
        <v>426</v>
      </c>
      <c r="J124" s="126" t="s">
        <v>427</v>
      </c>
      <c r="K124" s="126" t="s">
        <v>407</v>
      </c>
      <c r="L124" s="148"/>
      <c r="M124" s="346" t="s">
        <v>430</v>
      </c>
      <c r="N124" s="347" t="s">
        <v>425</v>
      </c>
      <c r="O124" s="126"/>
      <c r="P124"/>
    </row>
    <row r="125" spans="1:18">
      <c r="A125" s="382"/>
      <c r="B125" s="350"/>
      <c r="C125" s="383"/>
      <c r="D125" s="350"/>
      <c r="E125" s="350"/>
      <c r="F125" s="350"/>
      <c r="G125" s="350"/>
      <c r="H125" s="310"/>
      <c r="I125" s="410"/>
      <c r="J125" s="127" t="s">
        <v>428</v>
      </c>
      <c r="K125" s="127" t="s">
        <v>428</v>
      </c>
      <c r="L125" s="132"/>
      <c r="M125" s="310"/>
      <c r="N125" s="348"/>
      <c r="O125" s="127"/>
      <c r="P125"/>
    </row>
    <row r="126" spans="1:18">
      <c r="A126" s="382"/>
      <c r="B126" s="350"/>
      <c r="C126" s="383"/>
      <c r="D126" s="350"/>
      <c r="E126" s="350"/>
      <c r="F126" s="350"/>
      <c r="G126" s="350"/>
      <c r="H126" s="310"/>
      <c r="I126" s="410"/>
      <c r="J126" s="127" t="s">
        <v>423</v>
      </c>
      <c r="K126" s="127" t="s">
        <v>319</v>
      </c>
      <c r="L126" s="132"/>
      <c r="M126" s="310"/>
      <c r="N126" s="348"/>
      <c r="O126" s="127"/>
      <c r="P126"/>
    </row>
    <row r="127" spans="1:18" ht="15" thickBot="1">
      <c r="A127" s="370"/>
      <c r="B127" s="315"/>
      <c r="C127" s="372"/>
      <c r="D127" s="315"/>
      <c r="E127" s="315"/>
      <c r="F127" s="315"/>
      <c r="G127" s="315"/>
      <c r="H127" s="304"/>
      <c r="I127" s="411"/>
      <c r="J127" s="128" t="s">
        <v>429</v>
      </c>
      <c r="K127" s="128" t="s">
        <v>429</v>
      </c>
      <c r="L127" s="149"/>
      <c r="M127" s="304"/>
      <c r="N127" s="366"/>
      <c r="O127" s="128"/>
      <c r="P127"/>
    </row>
    <row r="128" spans="1:18">
      <c r="A128" s="57">
        <f>+A124+1</f>
        <v>52</v>
      </c>
      <c r="B128" s="58" t="s">
        <v>115</v>
      </c>
      <c r="C128" s="59" t="s">
        <v>57</v>
      </c>
      <c r="D128" s="60" t="s">
        <v>131</v>
      </c>
      <c r="E128" s="60" t="s">
        <v>242</v>
      </c>
      <c r="F128" s="60"/>
      <c r="G128" s="60" t="s">
        <v>168</v>
      </c>
      <c r="H128" s="76"/>
      <c r="I128" s="76"/>
      <c r="J128" s="76"/>
      <c r="K128" s="76"/>
      <c r="L128" s="76"/>
      <c r="M128" s="107"/>
      <c r="N128" s="107"/>
      <c r="O128" s="76"/>
      <c r="P128"/>
    </row>
    <row r="129" spans="1:18">
      <c r="A129" s="23">
        <f t="shared" si="1"/>
        <v>53</v>
      </c>
      <c r="B129" s="20" t="s">
        <v>116</v>
      </c>
      <c r="C129" s="21" t="s">
        <v>58</v>
      </c>
      <c r="D129" s="22" t="s">
        <v>131</v>
      </c>
      <c r="E129" s="22" t="s">
        <v>242</v>
      </c>
      <c r="F129" s="22"/>
      <c r="G129" s="22" t="s">
        <v>168</v>
      </c>
      <c r="H129" s="74"/>
      <c r="I129" s="74"/>
      <c r="J129" s="74"/>
      <c r="K129" s="74"/>
      <c r="L129" s="74"/>
      <c r="M129" s="7"/>
      <c r="N129" s="7"/>
      <c r="O129" s="74"/>
      <c r="P129"/>
    </row>
    <row r="130" spans="1:18" s="237" customFormat="1" ht="15" thickBot="1">
      <c r="A130" s="231">
        <f t="shared" si="1"/>
        <v>54</v>
      </c>
      <c r="B130" s="232" t="s">
        <v>117</v>
      </c>
      <c r="C130" s="233" t="s">
        <v>193</v>
      </c>
      <c r="D130" s="234" t="s">
        <v>194</v>
      </c>
      <c r="E130" s="234"/>
      <c r="F130" s="234"/>
      <c r="G130" s="234"/>
      <c r="H130" s="235"/>
      <c r="I130" s="235"/>
      <c r="J130" s="235"/>
      <c r="K130" s="235"/>
      <c r="L130" s="235"/>
      <c r="M130" s="236"/>
      <c r="N130" s="236"/>
      <c r="O130" s="244"/>
    </row>
    <row r="131" spans="1:18">
      <c r="A131" s="369">
        <f>+A130+1</f>
        <v>55</v>
      </c>
      <c r="B131" s="314" t="s">
        <v>118</v>
      </c>
      <c r="C131" s="371" t="s">
        <v>59</v>
      </c>
      <c r="D131" s="314" t="s">
        <v>131</v>
      </c>
      <c r="E131" s="314" t="s">
        <v>242</v>
      </c>
      <c r="F131" s="92"/>
      <c r="G131" s="314" t="s">
        <v>517</v>
      </c>
      <c r="H131" s="303" t="s">
        <v>339</v>
      </c>
      <c r="I131" s="303" t="s">
        <v>340</v>
      </c>
      <c r="J131" s="126" t="s">
        <v>341</v>
      </c>
      <c r="K131" s="157">
        <v>356</v>
      </c>
      <c r="L131" s="211"/>
      <c r="M131" s="346" t="s">
        <v>343</v>
      </c>
      <c r="N131" s="347" t="s">
        <v>338</v>
      </c>
      <c r="O131" s="157"/>
      <c r="P131"/>
    </row>
    <row r="132" spans="1:18">
      <c r="A132" s="382"/>
      <c r="B132" s="350"/>
      <c r="C132" s="383"/>
      <c r="D132" s="350"/>
      <c r="E132" s="350"/>
      <c r="F132" s="89"/>
      <c r="G132" s="350"/>
      <c r="H132" s="310"/>
      <c r="I132" s="310"/>
      <c r="J132" s="127" t="s">
        <v>315</v>
      </c>
      <c r="K132" s="157">
        <v>380</v>
      </c>
      <c r="L132" s="211"/>
      <c r="M132" s="310"/>
      <c r="N132" s="348"/>
      <c r="O132" s="157"/>
      <c r="P132"/>
    </row>
    <row r="133" spans="1:18" ht="15" thickBot="1">
      <c r="A133" s="382"/>
      <c r="B133" s="350"/>
      <c r="C133" s="383"/>
      <c r="D133" s="350"/>
      <c r="E133" s="350"/>
      <c r="F133" s="89"/>
      <c r="G133" s="350"/>
      <c r="H133" s="310"/>
      <c r="I133" s="310"/>
      <c r="J133" s="169" t="s">
        <v>342</v>
      </c>
      <c r="K133" s="159">
        <v>380</v>
      </c>
      <c r="L133" s="211"/>
      <c r="M133" s="310"/>
      <c r="N133" s="348"/>
      <c r="O133" s="159"/>
      <c r="P133"/>
    </row>
    <row r="134" spans="1:18" ht="21.75" customHeight="1" thickBot="1">
      <c r="A134" s="369">
        <f>+A131+1</f>
        <v>56</v>
      </c>
      <c r="B134" s="314" t="s">
        <v>119</v>
      </c>
      <c r="C134" s="371" t="s">
        <v>60</v>
      </c>
      <c r="D134" s="314" t="s">
        <v>131</v>
      </c>
      <c r="E134" s="314" t="s">
        <v>242</v>
      </c>
      <c r="F134" s="351" t="s">
        <v>554</v>
      </c>
      <c r="G134" s="314" t="s">
        <v>517</v>
      </c>
      <c r="H134" s="303" t="s">
        <v>436</v>
      </c>
      <c r="I134" s="303" t="s">
        <v>431</v>
      </c>
      <c r="J134" s="148" t="s">
        <v>432</v>
      </c>
      <c r="K134" s="390" t="s">
        <v>433</v>
      </c>
      <c r="L134" s="198"/>
      <c r="M134" s="346" t="s">
        <v>434</v>
      </c>
      <c r="N134" s="347" t="s">
        <v>435</v>
      </c>
      <c r="O134" s="390"/>
      <c r="P134"/>
    </row>
    <row r="135" spans="1:18" ht="25.5" customHeight="1" thickBot="1">
      <c r="A135" s="405"/>
      <c r="B135" s="397"/>
      <c r="C135" s="406"/>
      <c r="D135" s="397"/>
      <c r="E135" s="397"/>
      <c r="F135" s="397"/>
      <c r="G135" s="397"/>
      <c r="H135" s="398"/>
      <c r="I135" s="398"/>
      <c r="J135" s="141" t="s">
        <v>429</v>
      </c>
      <c r="K135" s="391" t="s">
        <v>429</v>
      </c>
      <c r="L135" s="252" t="s">
        <v>590</v>
      </c>
      <c r="M135" s="398"/>
      <c r="N135" s="407"/>
      <c r="O135" s="391"/>
      <c r="P135"/>
    </row>
    <row r="136" spans="1:18">
      <c r="A136" s="392">
        <f>+A134+1</f>
        <v>57</v>
      </c>
      <c r="B136" s="322" t="s">
        <v>120</v>
      </c>
      <c r="C136" s="384" t="s">
        <v>61</v>
      </c>
      <c r="D136" s="322" t="s">
        <v>133</v>
      </c>
      <c r="E136" s="322" t="s">
        <v>241</v>
      </c>
      <c r="F136" s="396" t="s">
        <v>462</v>
      </c>
      <c r="G136" s="322" t="s">
        <v>517</v>
      </c>
      <c r="H136" s="325" t="s">
        <v>61</v>
      </c>
      <c r="I136" s="325"/>
      <c r="J136" s="153" t="s">
        <v>446</v>
      </c>
      <c r="K136" s="181">
        <v>380</v>
      </c>
      <c r="L136" s="399">
        <v>20</v>
      </c>
      <c r="M136" s="325"/>
      <c r="N136" s="342" t="s">
        <v>463</v>
      </c>
      <c r="O136" s="402" t="s">
        <v>520</v>
      </c>
      <c r="P136" s="276"/>
      <c r="Q136" s="7"/>
      <c r="R136" s="7"/>
    </row>
    <row r="137" spans="1:18">
      <c r="A137" s="393"/>
      <c r="B137" s="323"/>
      <c r="C137" s="395"/>
      <c r="D137" s="323"/>
      <c r="E137" s="323"/>
      <c r="F137" s="355"/>
      <c r="G137" s="323"/>
      <c r="H137" s="326"/>
      <c r="I137" s="326"/>
      <c r="J137" s="152" t="s">
        <v>461</v>
      </c>
      <c r="K137" s="180">
        <v>6000</v>
      </c>
      <c r="L137" s="400"/>
      <c r="M137" s="326"/>
      <c r="N137" s="343"/>
      <c r="O137" s="403"/>
      <c r="P137"/>
    </row>
    <row r="138" spans="1:18">
      <c r="A138" s="393"/>
      <c r="B138" s="323"/>
      <c r="C138" s="395"/>
      <c r="D138" s="323"/>
      <c r="E138" s="323"/>
      <c r="F138" s="20" t="s">
        <v>554</v>
      </c>
      <c r="G138" s="323"/>
      <c r="H138" s="326"/>
      <c r="I138" s="326"/>
      <c r="J138" s="152" t="s">
        <v>462</v>
      </c>
      <c r="K138" s="180">
        <v>95</v>
      </c>
      <c r="L138" s="400"/>
      <c r="M138" s="326"/>
      <c r="N138" s="343"/>
      <c r="O138" s="403"/>
      <c r="P138"/>
    </row>
    <row r="139" spans="1:18" ht="15" thickBot="1">
      <c r="A139" s="394"/>
      <c r="B139" s="324"/>
      <c r="C139" s="385"/>
      <c r="D139" s="324"/>
      <c r="E139" s="324"/>
      <c r="F139" s="48"/>
      <c r="G139" s="324"/>
      <c r="H139" s="327"/>
      <c r="I139" s="327"/>
      <c r="J139" s="165" t="s">
        <v>448</v>
      </c>
      <c r="K139" s="165">
        <v>380</v>
      </c>
      <c r="L139" s="401"/>
      <c r="M139" s="327"/>
      <c r="N139" s="344"/>
      <c r="O139" s="404"/>
      <c r="P139"/>
    </row>
    <row r="140" spans="1:18" ht="15" thickBot="1">
      <c r="A140" s="108">
        <f>+A136+1</f>
        <v>58</v>
      </c>
      <c r="B140" s="109" t="s">
        <v>121</v>
      </c>
      <c r="C140" s="110" t="s">
        <v>62</v>
      </c>
      <c r="D140" s="111" t="s">
        <v>133</v>
      </c>
      <c r="E140" s="111" t="s">
        <v>242</v>
      </c>
      <c r="F140" s="111"/>
      <c r="G140" s="111" t="s">
        <v>517</v>
      </c>
      <c r="H140" s="112" t="s">
        <v>464</v>
      </c>
      <c r="I140" s="175"/>
      <c r="J140" s="112" t="s">
        <v>465</v>
      </c>
      <c r="K140" s="112" t="s">
        <v>466</v>
      </c>
      <c r="L140" s="112"/>
      <c r="M140" s="176"/>
      <c r="N140" s="177"/>
      <c r="O140" s="112"/>
      <c r="P140"/>
    </row>
    <row r="141" spans="1:18" ht="15" thickBot="1">
      <c r="A141" s="108">
        <f t="shared" si="1"/>
        <v>59</v>
      </c>
      <c r="B141" s="109" t="s">
        <v>122</v>
      </c>
      <c r="C141" s="110" t="s">
        <v>193</v>
      </c>
      <c r="D141" s="111" t="s">
        <v>194</v>
      </c>
      <c r="E141" s="111" t="s">
        <v>242</v>
      </c>
      <c r="F141" s="111"/>
      <c r="G141" s="111"/>
      <c r="H141" s="175"/>
      <c r="I141" s="175"/>
      <c r="J141" s="175"/>
      <c r="K141" s="175"/>
      <c r="L141" s="175"/>
      <c r="M141" s="176"/>
      <c r="N141" s="177"/>
      <c r="O141" s="175"/>
      <c r="P141"/>
    </row>
    <row r="142" spans="1:18" ht="15" thickBot="1">
      <c r="A142" s="369">
        <f>+A141+1</f>
        <v>60</v>
      </c>
      <c r="B142" s="314" t="s">
        <v>123</v>
      </c>
      <c r="C142" s="371" t="s">
        <v>63</v>
      </c>
      <c r="D142" s="314" t="s">
        <v>133</v>
      </c>
      <c r="E142" s="314" t="s">
        <v>242</v>
      </c>
      <c r="F142" s="92"/>
      <c r="G142" s="314" t="s">
        <v>517</v>
      </c>
      <c r="H142" s="303" t="s">
        <v>367</v>
      </c>
      <c r="I142" s="303" t="s">
        <v>366</v>
      </c>
      <c r="J142" s="253" t="s">
        <v>315</v>
      </c>
      <c r="K142" s="121">
        <v>380</v>
      </c>
      <c r="L142" s="121"/>
      <c r="M142" s="346" t="s">
        <v>365</v>
      </c>
      <c r="N142" s="388"/>
      <c r="O142" s="121"/>
      <c r="P142"/>
    </row>
    <row r="143" spans="1:18">
      <c r="A143" s="369"/>
      <c r="B143" s="314"/>
      <c r="C143" s="384"/>
      <c r="D143" s="322"/>
      <c r="E143" s="322"/>
      <c r="F143" s="314">
        <v>356</v>
      </c>
      <c r="G143" s="322"/>
      <c r="H143" s="325"/>
      <c r="I143" s="325"/>
      <c r="J143" s="104" t="s">
        <v>346</v>
      </c>
      <c r="K143" s="86">
        <v>1000</v>
      </c>
      <c r="L143" s="367"/>
      <c r="M143" s="303"/>
      <c r="N143" s="388"/>
      <c r="O143" s="363"/>
      <c r="P143"/>
    </row>
    <row r="144" spans="1:18" ht="15" thickBot="1">
      <c r="A144" s="370"/>
      <c r="B144" s="315"/>
      <c r="C144" s="385"/>
      <c r="D144" s="324"/>
      <c r="E144" s="324"/>
      <c r="F144" s="315"/>
      <c r="G144" s="324"/>
      <c r="H144" s="327"/>
      <c r="I144" s="327"/>
      <c r="J144" s="105" t="s">
        <v>341</v>
      </c>
      <c r="K144" s="165">
        <v>356</v>
      </c>
      <c r="L144" s="368"/>
      <c r="M144" s="304"/>
      <c r="N144" s="389"/>
      <c r="O144" s="365"/>
      <c r="P144"/>
    </row>
    <row r="145" spans="1:18" ht="15" thickBot="1">
      <c r="A145" s="369">
        <f>+A142+1</f>
        <v>61</v>
      </c>
      <c r="B145" s="314" t="s">
        <v>124</v>
      </c>
      <c r="C145" s="386" t="s">
        <v>372</v>
      </c>
      <c r="D145" s="314" t="s">
        <v>134</v>
      </c>
      <c r="E145" s="314" t="s">
        <v>242</v>
      </c>
      <c r="F145" s="92"/>
      <c r="G145" s="314" t="s">
        <v>517</v>
      </c>
      <c r="H145" s="303" t="s">
        <v>376</v>
      </c>
      <c r="I145" s="303" t="s">
        <v>375</v>
      </c>
      <c r="J145" s="167" t="s">
        <v>315</v>
      </c>
      <c r="K145" s="166">
        <v>380</v>
      </c>
      <c r="L145" s="166"/>
      <c r="M145" s="373" t="s">
        <v>373</v>
      </c>
      <c r="N145" s="347" t="s">
        <v>374</v>
      </c>
      <c r="O145" s="166"/>
      <c r="P145"/>
    </row>
    <row r="146" spans="1:18">
      <c r="A146" s="369"/>
      <c r="B146" s="314"/>
      <c r="C146" s="386"/>
      <c r="D146" s="314"/>
      <c r="E146" s="314"/>
      <c r="F146" s="314">
        <v>356</v>
      </c>
      <c r="G146" s="314"/>
      <c r="H146" s="303"/>
      <c r="I146" s="303"/>
      <c r="J146" s="167" t="s">
        <v>346</v>
      </c>
      <c r="K146" s="166">
        <v>1000</v>
      </c>
      <c r="L146" s="367"/>
      <c r="M146" s="373"/>
      <c r="N146" s="347"/>
      <c r="O146" s="363"/>
      <c r="P146"/>
    </row>
    <row r="147" spans="1:18" ht="15" thickBot="1">
      <c r="A147" s="370"/>
      <c r="B147" s="315"/>
      <c r="C147" s="387"/>
      <c r="D147" s="315"/>
      <c r="E147" s="315"/>
      <c r="F147" s="315"/>
      <c r="G147" s="315"/>
      <c r="H147" s="304"/>
      <c r="I147" s="304"/>
      <c r="J147" s="168" t="s">
        <v>341</v>
      </c>
      <c r="K147" s="168">
        <v>356</v>
      </c>
      <c r="L147" s="368"/>
      <c r="M147" s="374"/>
      <c r="N147" s="366"/>
      <c r="O147" s="365"/>
      <c r="P147"/>
    </row>
    <row r="148" spans="1:18" ht="15" thickBot="1">
      <c r="A148" s="369">
        <f>+A145+1</f>
        <v>62</v>
      </c>
      <c r="B148" s="314" t="s">
        <v>125</v>
      </c>
      <c r="C148" s="371" t="s">
        <v>196</v>
      </c>
      <c r="D148" s="314" t="s">
        <v>133</v>
      </c>
      <c r="E148" s="314" t="s">
        <v>242</v>
      </c>
      <c r="F148" s="92"/>
      <c r="G148" s="314" t="s">
        <v>517</v>
      </c>
      <c r="H148" s="303" t="s">
        <v>377</v>
      </c>
      <c r="I148" s="303" t="s">
        <v>378</v>
      </c>
      <c r="J148" s="163" t="s">
        <v>315</v>
      </c>
      <c r="K148" s="166">
        <v>380</v>
      </c>
      <c r="L148" s="166"/>
      <c r="M148" s="373" t="s">
        <v>379</v>
      </c>
      <c r="N148" s="347" t="s">
        <v>380</v>
      </c>
      <c r="O148" s="166"/>
      <c r="P148"/>
    </row>
    <row r="149" spans="1:18">
      <c r="A149" s="369"/>
      <c r="B149" s="314"/>
      <c r="C149" s="371"/>
      <c r="D149" s="314"/>
      <c r="E149" s="314"/>
      <c r="F149" s="314">
        <v>356</v>
      </c>
      <c r="G149" s="314"/>
      <c r="H149" s="303"/>
      <c r="I149" s="303"/>
      <c r="J149" s="163" t="s">
        <v>341</v>
      </c>
      <c r="K149" s="166">
        <v>356</v>
      </c>
      <c r="L149" s="367"/>
      <c r="M149" s="373"/>
      <c r="N149" s="347"/>
      <c r="O149" s="363"/>
      <c r="P149"/>
    </row>
    <row r="150" spans="1:18" ht="15" thickBot="1">
      <c r="A150" s="370"/>
      <c r="B150" s="315"/>
      <c r="C150" s="372"/>
      <c r="D150" s="315"/>
      <c r="E150" s="315"/>
      <c r="F150" s="315"/>
      <c r="G150" s="315"/>
      <c r="H150" s="304"/>
      <c r="I150" s="304"/>
      <c r="J150" s="164" t="s">
        <v>319</v>
      </c>
      <c r="K150" s="168" t="s">
        <v>348</v>
      </c>
      <c r="L150" s="368"/>
      <c r="M150" s="374"/>
      <c r="N150" s="366"/>
      <c r="O150" s="365"/>
      <c r="P150"/>
    </row>
    <row r="151" spans="1:18" ht="15" thickBot="1">
      <c r="A151" s="246">
        <f>+A148+1</f>
        <v>63</v>
      </c>
      <c r="B151" s="247" t="s">
        <v>126</v>
      </c>
      <c r="C151" s="248" t="s">
        <v>193</v>
      </c>
      <c r="D151" s="246" t="s">
        <v>194</v>
      </c>
      <c r="E151" s="246"/>
      <c r="F151" s="246"/>
      <c r="G151" s="246"/>
      <c r="H151" s="249"/>
      <c r="I151" s="249"/>
      <c r="J151" s="249"/>
      <c r="K151" s="249"/>
      <c r="L151" s="249"/>
      <c r="M151" s="250"/>
      <c r="N151" s="250"/>
      <c r="O151" s="251"/>
      <c r="P151"/>
    </row>
    <row r="152" spans="1:18" ht="15" thickBot="1">
      <c r="A152" s="369">
        <f>+A151+1</f>
        <v>64</v>
      </c>
      <c r="B152" s="314" t="s">
        <v>127</v>
      </c>
      <c r="C152" s="371" t="s">
        <v>191</v>
      </c>
      <c r="D152" s="314" t="s">
        <v>133</v>
      </c>
      <c r="E152" s="314" t="s">
        <v>242</v>
      </c>
      <c r="F152" s="92"/>
      <c r="G152" s="314" t="s">
        <v>168</v>
      </c>
      <c r="H152" s="303" t="s">
        <v>389</v>
      </c>
      <c r="I152" s="303" t="s">
        <v>388</v>
      </c>
      <c r="J152" s="166" t="s">
        <v>381</v>
      </c>
      <c r="K152" s="166">
        <v>380</v>
      </c>
      <c r="L152" s="166"/>
      <c r="M152" s="346" t="s">
        <v>386</v>
      </c>
      <c r="N152" s="347" t="s">
        <v>387</v>
      </c>
      <c r="O152" s="166"/>
      <c r="P152"/>
    </row>
    <row r="153" spans="1:18">
      <c r="A153" s="369"/>
      <c r="B153" s="314"/>
      <c r="C153" s="371"/>
      <c r="D153" s="314"/>
      <c r="E153" s="314"/>
      <c r="F153" s="314" t="s">
        <v>552</v>
      </c>
      <c r="G153" s="314"/>
      <c r="H153" s="303"/>
      <c r="I153" s="303"/>
      <c r="J153" s="120" t="s">
        <v>382</v>
      </c>
      <c r="K153" s="120">
        <v>380</v>
      </c>
      <c r="L153" s="367"/>
      <c r="M153" s="303"/>
      <c r="N153" s="375"/>
      <c r="O153" s="379"/>
      <c r="P153"/>
    </row>
    <row r="154" spans="1:18">
      <c r="A154" s="382"/>
      <c r="B154" s="350"/>
      <c r="C154" s="383"/>
      <c r="D154" s="350"/>
      <c r="E154" s="350"/>
      <c r="F154" s="350"/>
      <c r="G154" s="350"/>
      <c r="H154" s="310"/>
      <c r="I154" s="310"/>
      <c r="J154" s="146" t="s">
        <v>383</v>
      </c>
      <c r="K154" s="146">
        <v>380</v>
      </c>
      <c r="L154" s="378"/>
      <c r="M154" s="310"/>
      <c r="N154" s="376"/>
      <c r="O154" s="380"/>
      <c r="P154"/>
    </row>
    <row r="155" spans="1:18" ht="15" thickBot="1">
      <c r="A155" s="370"/>
      <c r="B155" s="315"/>
      <c r="C155" s="372"/>
      <c r="D155" s="315"/>
      <c r="E155" s="315"/>
      <c r="F155" s="315"/>
      <c r="G155" s="315"/>
      <c r="H155" s="304"/>
      <c r="I155" s="304"/>
      <c r="J155" s="123" t="s">
        <v>384</v>
      </c>
      <c r="K155" s="123" t="s">
        <v>385</v>
      </c>
      <c r="L155" s="368"/>
      <c r="M155" s="304"/>
      <c r="N155" s="377"/>
      <c r="O155" s="381"/>
      <c r="P155"/>
    </row>
    <row r="156" spans="1:18" ht="15" thickBot="1">
      <c r="A156" s="60">
        <f>+A152+1</f>
        <v>65</v>
      </c>
      <c r="B156" s="58" t="s">
        <v>199</v>
      </c>
      <c r="C156" s="59" t="s">
        <v>197</v>
      </c>
      <c r="D156" s="60" t="s">
        <v>131</v>
      </c>
      <c r="E156" s="60" t="s">
        <v>242</v>
      </c>
      <c r="F156" s="60"/>
      <c r="G156" s="60" t="s">
        <v>168</v>
      </c>
      <c r="H156" s="76"/>
      <c r="I156" s="76"/>
      <c r="J156" s="76"/>
      <c r="K156" s="76"/>
      <c r="L156" s="76"/>
      <c r="M156" s="107"/>
      <c r="N156" s="107"/>
      <c r="O156" s="76"/>
      <c r="P156"/>
    </row>
    <row r="157" spans="1:18">
      <c r="A157" s="57">
        <f t="shared" ref="A157:A197" si="2">+A156+1</f>
        <v>66</v>
      </c>
      <c r="B157" s="58" t="s">
        <v>128</v>
      </c>
      <c r="C157" s="59" t="s">
        <v>198</v>
      </c>
      <c r="D157" s="60" t="s">
        <v>131</v>
      </c>
      <c r="E157" s="60" t="s">
        <v>241</v>
      </c>
      <c r="F157" s="262" t="s">
        <v>224</v>
      </c>
      <c r="G157" s="60" t="s">
        <v>517</v>
      </c>
      <c r="H157" s="106" t="s">
        <v>545</v>
      </c>
      <c r="I157" s="106" t="s">
        <v>546</v>
      </c>
      <c r="J157" s="106" t="s">
        <v>547</v>
      </c>
      <c r="K157" s="6">
        <v>380</v>
      </c>
      <c r="L157" s="229">
        <v>125</v>
      </c>
      <c r="M157" s="241" t="s">
        <v>574</v>
      </c>
      <c r="N157" s="6" t="s">
        <v>500</v>
      </c>
      <c r="O157" s="273" t="s">
        <v>517</v>
      </c>
      <c r="P157" s="276">
        <v>0.86</v>
      </c>
      <c r="Q157" s="276">
        <v>0.85</v>
      </c>
      <c r="R157" s="276">
        <v>0.75</v>
      </c>
    </row>
    <row r="158" spans="1:18" ht="15" thickBot="1">
      <c r="A158" s="53">
        <f t="shared" si="2"/>
        <v>67</v>
      </c>
      <c r="B158" s="54" t="s">
        <v>129</v>
      </c>
      <c r="C158" s="55" t="s">
        <v>204</v>
      </c>
      <c r="D158" s="56" t="s">
        <v>131</v>
      </c>
      <c r="E158" s="56" t="s">
        <v>242</v>
      </c>
      <c r="F158" s="56"/>
      <c r="G158" s="56" t="s">
        <v>517</v>
      </c>
      <c r="H158" s="137"/>
      <c r="I158" s="137"/>
      <c r="J158" s="137"/>
      <c r="K158" s="137"/>
      <c r="L158" s="137"/>
      <c r="M158" s="85"/>
      <c r="N158" s="85"/>
      <c r="O158" s="137"/>
      <c r="P158"/>
    </row>
    <row r="159" spans="1:18" ht="15" thickBot="1">
      <c r="A159" s="183">
        <f>+A158+1</f>
        <v>68</v>
      </c>
      <c r="B159" s="109" t="s">
        <v>130</v>
      </c>
      <c r="C159" s="184" t="s">
        <v>467</v>
      </c>
      <c r="D159" s="185" t="s">
        <v>133</v>
      </c>
      <c r="E159" s="191" t="s">
        <v>242</v>
      </c>
      <c r="F159" s="266" t="s">
        <v>552</v>
      </c>
      <c r="G159" s="185" t="s">
        <v>517</v>
      </c>
      <c r="H159" s="112" t="s">
        <v>467</v>
      </c>
      <c r="I159" s="112" t="s">
        <v>468</v>
      </c>
      <c r="J159" s="112" t="s">
        <v>469</v>
      </c>
      <c r="K159" s="112">
        <v>380</v>
      </c>
      <c r="L159" s="112"/>
      <c r="M159" s="184" t="s">
        <v>450</v>
      </c>
      <c r="N159" s="113" t="s">
        <v>470</v>
      </c>
      <c r="O159" s="112"/>
      <c r="P159" s="276"/>
    </row>
    <row r="160" spans="1:18">
      <c r="A160" s="312">
        <v>69</v>
      </c>
      <c r="B160" s="314" t="s">
        <v>200</v>
      </c>
      <c r="C160" s="303" t="s">
        <v>207</v>
      </c>
      <c r="D160" s="301" t="s">
        <v>131</v>
      </c>
      <c r="E160" s="301" t="s">
        <v>241</v>
      </c>
      <c r="F160" s="351" t="s">
        <v>554</v>
      </c>
      <c r="G160" s="301" t="s">
        <v>517</v>
      </c>
      <c r="H160" s="303" t="s">
        <v>471</v>
      </c>
      <c r="I160" s="303" t="s">
        <v>472</v>
      </c>
      <c r="J160" s="166" t="s">
        <v>473</v>
      </c>
      <c r="K160" s="166"/>
      <c r="L160" s="307" t="s">
        <v>590</v>
      </c>
      <c r="M160" s="346" t="s">
        <v>477</v>
      </c>
      <c r="N160" s="347" t="s">
        <v>476</v>
      </c>
      <c r="O160" s="363" t="s">
        <v>520</v>
      </c>
      <c r="P160" s="7"/>
      <c r="Q160" s="7"/>
      <c r="R160" s="7"/>
    </row>
    <row r="161" spans="1:18">
      <c r="A161" s="353"/>
      <c r="B161" s="350"/>
      <c r="C161" s="310"/>
      <c r="D161" s="332"/>
      <c r="E161" s="332"/>
      <c r="F161" s="332"/>
      <c r="G161" s="332"/>
      <c r="H161" s="310"/>
      <c r="I161" s="310"/>
      <c r="J161" s="144" t="s">
        <v>474</v>
      </c>
      <c r="K161" s="144"/>
      <c r="L161" s="308"/>
      <c r="M161" s="310"/>
      <c r="N161" s="348"/>
      <c r="O161" s="364"/>
      <c r="P161"/>
    </row>
    <row r="162" spans="1:18" ht="15" thickBot="1">
      <c r="A162" s="313"/>
      <c r="B162" s="315"/>
      <c r="C162" s="304"/>
      <c r="D162" s="302"/>
      <c r="E162" s="302"/>
      <c r="F162" s="302"/>
      <c r="G162" s="302"/>
      <c r="H162" s="304"/>
      <c r="I162" s="304"/>
      <c r="J162" s="168" t="s">
        <v>475</v>
      </c>
      <c r="K162" s="168"/>
      <c r="L162" s="309"/>
      <c r="M162" s="304"/>
      <c r="N162" s="366"/>
      <c r="O162" s="365"/>
      <c r="P162"/>
    </row>
    <row r="163" spans="1:18">
      <c r="A163" s="319">
        <f>+A160+1</f>
        <v>70</v>
      </c>
      <c r="B163" s="322" t="s">
        <v>201</v>
      </c>
      <c r="C163" s="325" t="s">
        <v>208</v>
      </c>
      <c r="D163" s="328" t="s">
        <v>131</v>
      </c>
      <c r="E163" s="328" t="s">
        <v>242</v>
      </c>
      <c r="F163" s="197"/>
      <c r="G163" s="328" t="s">
        <v>519</v>
      </c>
      <c r="H163" s="303"/>
      <c r="I163" s="303"/>
      <c r="J163" s="86" t="s">
        <v>284</v>
      </c>
      <c r="K163" s="86">
        <v>356</v>
      </c>
      <c r="L163" s="121"/>
      <c r="M163" s="303"/>
      <c r="N163" s="347"/>
      <c r="O163" s="86"/>
      <c r="P163"/>
    </row>
    <row r="164" spans="1:18" ht="15" thickBot="1">
      <c r="A164" s="360"/>
      <c r="B164" s="361"/>
      <c r="C164" s="362"/>
      <c r="D164" s="359"/>
      <c r="E164" s="359"/>
      <c r="F164" s="201">
        <v>356</v>
      </c>
      <c r="G164" s="359"/>
      <c r="H164" s="310"/>
      <c r="I164" s="310"/>
      <c r="J164" s="114" t="s">
        <v>437</v>
      </c>
      <c r="K164" s="114">
        <v>356</v>
      </c>
      <c r="L164" s="115"/>
      <c r="M164" s="310"/>
      <c r="N164" s="348"/>
      <c r="O164" s="114"/>
      <c r="P164"/>
    </row>
    <row r="165" spans="1:18" ht="15" thickBot="1">
      <c r="A165" s="319">
        <f>+A163+1</f>
        <v>71</v>
      </c>
      <c r="B165" s="322" t="s">
        <v>202</v>
      </c>
      <c r="C165" s="325" t="s">
        <v>209</v>
      </c>
      <c r="D165" s="328" t="s">
        <v>133</v>
      </c>
      <c r="E165" s="328" t="s">
        <v>241</v>
      </c>
      <c r="F165" s="331" t="s">
        <v>552</v>
      </c>
      <c r="G165" s="328" t="s">
        <v>517</v>
      </c>
      <c r="H165" s="325" t="s">
        <v>478</v>
      </c>
      <c r="I165" s="325" t="s">
        <v>479</v>
      </c>
      <c r="J165" s="86" t="s">
        <v>312</v>
      </c>
      <c r="K165" s="86">
        <v>380</v>
      </c>
      <c r="L165" s="226">
        <v>15</v>
      </c>
      <c r="M165" s="325"/>
      <c r="N165" s="342" t="s">
        <v>481</v>
      </c>
      <c r="O165" s="345" t="s">
        <v>517</v>
      </c>
      <c r="P165" s="276">
        <v>0.82</v>
      </c>
      <c r="Q165" s="276">
        <v>0.85</v>
      </c>
      <c r="R165" s="276">
        <v>0.75</v>
      </c>
    </row>
    <row r="166" spans="1:18" ht="15" thickBot="1">
      <c r="A166" s="320"/>
      <c r="B166" s="323"/>
      <c r="C166" s="326"/>
      <c r="D166" s="329"/>
      <c r="E166" s="329"/>
      <c r="F166" s="332"/>
      <c r="G166" s="329"/>
      <c r="H166" s="326"/>
      <c r="I166" s="326"/>
      <c r="J166" s="6" t="s">
        <v>288</v>
      </c>
      <c r="K166" s="6">
        <v>380</v>
      </c>
      <c r="L166" s="226">
        <v>5</v>
      </c>
      <c r="M166" s="326"/>
      <c r="N166" s="343"/>
      <c r="O166" s="317"/>
      <c r="P166"/>
    </row>
    <row r="167" spans="1:18" ht="15" thickBot="1">
      <c r="A167" s="320"/>
      <c r="B167" s="323"/>
      <c r="C167" s="326"/>
      <c r="D167" s="329"/>
      <c r="E167" s="329"/>
      <c r="F167" s="332"/>
      <c r="G167" s="329"/>
      <c r="H167" s="326"/>
      <c r="I167" s="326"/>
      <c r="J167" s="6" t="s">
        <v>480</v>
      </c>
      <c r="K167" s="6">
        <v>380</v>
      </c>
      <c r="L167" s="226">
        <v>30</v>
      </c>
      <c r="M167" s="326"/>
      <c r="N167" s="343"/>
      <c r="O167" s="317"/>
      <c r="P167"/>
    </row>
    <row r="168" spans="1:18" ht="15" thickBot="1">
      <c r="A168" s="320"/>
      <c r="B168" s="323"/>
      <c r="C168" s="326"/>
      <c r="D168" s="329"/>
      <c r="E168" s="329"/>
      <c r="F168" s="332"/>
      <c r="G168" s="329"/>
      <c r="H168" s="326"/>
      <c r="I168" s="326"/>
      <c r="J168" s="6" t="s">
        <v>346</v>
      </c>
      <c r="K168" s="6">
        <v>380</v>
      </c>
      <c r="L168" s="226">
        <v>5</v>
      </c>
      <c r="M168" s="326"/>
      <c r="N168" s="343"/>
      <c r="O168" s="317"/>
      <c r="P168"/>
    </row>
    <row r="169" spans="1:18" ht="15" thickBot="1">
      <c r="A169" s="320"/>
      <c r="B169" s="323"/>
      <c r="C169" s="326"/>
      <c r="D169" s="329"/>
      <c r="E169" s="329"/>
      <c r="F169" s="332"/>
      <c r="G169" s="329"/>
      <c r="H169" s="326"/>
      <c r="I169" s="326"/>
      <c r="J169" s="6" t="s">
        <v>448</v>
      </c>
      <c r="K169" s="6">
        <v>380</v>
      </c>
      <c r="L169" s="226">
        <v>5</v>
      </c>
      <c r="M169" s="326"/>
      <c r="N169" s="343"/>
      <c r="O169" s="317"/>
      <c r="P169"/>
    </row>
    <row r="170" spans="1:18" ht="15" thickBot="1">
      <c r="A170" s="321"/>
      <c r="B170" s="324"/>
      <c r="C170" s="327"/>
      <c r="D170" s="330"/>
      <c r="E170" s="330"/>
      <c r="F170" s="302"/>
      <c r="G170" s="330"/>
      <c r="H170" s="327"/>
      <c r="I170" s="327"/>
      <c r="J170" s="165" t="s">
        <v>446</v>
      </c>
      <c r="K170" s="165">
        <v>380</v>
      </c>
      <c r="L170" s="243">
        <v>5</v>
      </c>
      <c r="M170" s="327"/>
      <c r="N170" s="344"/>
      <c r="O170" s="318"/>
      <c r="P170"/>
    </row>
    <row r="171" spans="1:18">
      <c r="A171" s="319">
        <f>+A165+1</f>
        <v>72</v>
      </c>
      <c r="B171" s="322" t="s">
        <v>203</v>
      </c>
      <c r="C171" s="325" t="s">
        <v>210</v>
      </c>
      <c r="D171" s="328" t="s">
        <v>131</v>
      </c>
      <c r="E171" s="328" t="s">
        <v>242</v>
      </c>
      <c r="F171" s="197"/>
      <c r="G171" s="328" t="s">
        <v>168</v>
      </c>
      <c r="H171" s="325"/>
      <c r="I171" s="325" t="s">
        <v>484</v>
      </c>
      <c r="J171" s="86" t="s">
        <v>284</v>
      </c>
      <c r="K171" s="86" t="s">
        <v>180</v>
      </c>
      <c r="L171" s="86"/>
      <c r="M171" s="325"/>
      <c r="N171" s="342"/>
      <c r="O171" s="86"/>
      <c r="P171"/>
    </row>
    <row r="172" spans="1:18">
      <c r="A172" s="354"/>
      <c r="B172" s="355"/>
      <c r="C172" s="356"/>
      <c r="D172" s="357"/>
      <c r="E172" s="357"/>
      <c r="F172" s="359" t="s">
        <v>180</v>
      </c>
      <c r="G172" s="357"/>
      <c r="H172" s="356"/>
      <c r="I172" s="356"/>
      <c r="J172" s="147" t="s">
        <v>312</v>
      </c>
      <c r="K172" s="147" t="s">
        <v>180</v>
      </c>
      <c r="L172" s="147"/>
      <c r="M172" s="356"/>
      <c r="N172" s="358"/>
      <c r="O172" s="147"/>
      <c r="P172"/>
    </row>
    <row r="173" spans="1:18" ht="15" thickBot="1">
      <c r="A173" s="321"/>
      <c r="B173" s="324"/>
      <c r="C173" s="327"/>
      <c r="D173" s="330"/>
      <c r="E173" s="330"/>
      <c r="F173" s="302"/>
      <c r="G173" s="330"/>
      <c r="H173" s="327"/>
      <c r="I173" s="327"/>
      <c r="J173" s="165" t="s">
        <v>437</v>
      </c>
      <c r="K173" s="165" t="s">
        <v>180</v>
      </c>
      <c r="L173" s="165"/>
      <c r="M173" s="327"/>
      <c r="N173" s="344"/>
      <c r="O173" s="165"/>
      <c r="P173"/>
    </row>
    <row r="174" spans="1:18" ht="15" thickBot="1">
      <c r="A174" s="186">
        <f>+A171+1</f>
        <v>73</v>
      </c>
      <c r="B174" s="89" t="s">
        <v>206</v>
      </c>
      <c r="C174" s="115" t="s">
        <v>211</v>
      </c>
      <c r="D174" s="187" t="s">
        <v>131</v>
      </c>
      <c r="E174" s="187" t="s">
        <v>242</v>
      </c>
      <c r="F174" s="187"/>
      <c r="G174" s="187" t="s">
        <v>168</v>
      </c>
      <c r="H174" s="137"/>
      <c r="I174" s="137"/>
      <c r="J174" s="137"/>
      <c r="K174" s="137"/>
      <c r="L174" s="137"/>
      <c r="M174" s="138"/>
      <c r="N174" s="138"/>
      <c r="O174" s="137"/>
      <c r="P174"/>
    </row>
    <row r="175" spans="1:18">
      <c r="A175" s="319">
        <f>+A174+1</f>
        <v>74</v>
      </c>
      <c r="B175" s="322" t="s">
        <v>212</v>
      </c>
      <c r="C175" s="325" t="s">
        <v>592</v>
      </c>
      <c r="D175" s="328" t="s">
        <v>131</v>
      </c>
      <c r="E175" s="328" t="s">
        <v>241</v>
      </c>
      <c r="F175" s="351" t="s">
        <v>554</v>
      </c>
      <c r="G175" s="328" t="s">
        <v>517</v>
      </c>
      <c r="H175" s="325" t="s">
        <v>424</v>
      </c>
      <c r="I175" s="325" t="s">
        <v>482</v>
      </c>
      <c r="J175" s="153" t="s">
        <v>483</v>
      </c>
      <c r="K175" s="153">
        <v>553</v>
      </c>
      <c r="L175" s="307" t="s">
        <v>590</v>
      </c>
      <c r="M175" s="341" t="s">
        <v>430</v>
      </c>
      <c r="N175" s="342" t="s">
        <v>593</v>
      </c>
      <c r="O175" s="352" t="s">
        <v>591</v>
      </c>
      <c r="P175" s="7"/>
      <c r="Q175" s="7"/>
      <c r="R175" s="7"/>
    </row>
    <row r="176" spans="1:18">
      <c r="A176" s="320"/>
      <c r="B176" s="323"/>
      <c r="C176" s="326"/>
      <c r="D176" s="329"/>
      <c r="E176" s="329"/>
      <c r="F176" s="332"/>
      <c r="G176" s="329"/>
      <c r="H176" s="326"/>
      <c r="I176" s="326"/>
      <c r="J176" s="152" t="s">
        <v>412</v>
      </c>
      <c r="K176" s="152" t="s">
        <v>176</v>
      </c>
      <c r="L176" s="308"/>
      <c r="M176" s="326"/>
      <c r="N176" s="337"/>
      <c r="O176" s="317"/>
      <c r="P176"/>
    </row>
    <row r="177" spans="1:18" ht="15" thickBot="1">
      <c r="A177" s="321"/>
      <c r="B177" s="324"/>
      <c r="C177" s="327"/>
      <c r="D177" s="330"/>
      <c r="E177" s="330"/>
      <c r="F177" s="302"/>
      <c r="G177" s="330"/>
      <c r="H177" s="327"/>
      <c r="I177" s="327"/>
      <c r="J177" s="154" t="s">
        <v>423</v>
      </c>
      <c r="K177" s="154" t="s">
        <v>172</v>
      </c>
      <c r="L177" s="309"/>
      <c r="M177" s="327"/>
      <c r="N177" s="338"/>
      <c r="O177" s="318"/>
      <c r="P177"/>
    </row>
    <row r="178" spans="1:18" ht="15" thickBot="1">
      <c r="A178" s="186">
        <f>+A175+1</f>
        <v>75</v>
      </c>
      <c r="B178" s="89" t="s">
        <v>213</v>
      </c>
      <c r="C178" s="115" t="s">
        <v>221</v>
      </c>
      <c r="D178" s="187" t="s">
        <v>131</v>
      </c>
      <c r="E178" s="187" t="s">
        <v>242</v>
      </c>
      <c r="F178" s="187"/>
      <c r="G178" s="187" t="s">
        <v>168</v>
      </c>
      <c r="H178" s="137"/>
      <c r="I178" s="137"/>
      <c r="J178" s="137"/>
      <c r="K178" s="137"/>
      <c r="L178" s="137"/>
      <c r="M178" s="138"/>
      <c r="N178" s="138"/>
      <c r="O178" s="137"/>
      <c r="P178"/>
    </row>
    <row r="179" spans="1:18">
      <c r="A179" s="312">
        <f>+A178+1</f>
        <v>76</v>
      </c>
      <c r="B179" s="314" t="s">
        <v>214</v>
      </c>
      <c r="C179" s="303" t="s">
        <v>222</v>
      </c>
      <c r="D179" s="301" t="s">
        <v>131</v>
      </c>
      <c r="E179" s="314" t="s">
        <v>241</v>
      </c>
      <c r="F179" s="349" t="s">
        <v>224</v>
      </c>
      <c r="G179" s="301" t="s">
        <v>168</v>
      </c>
      <c r="H179" s="303" t="s">
        <v>485</v>
      </c>
      <c r="I179" s="303" t="s">
        <v>486</v>
      </c>
      <c r="J179" s="126" t="s">
        <v>312</v>
      </c>
      <c r="K179" s="126" t="s">
        <v>180</v>
      </c>
      <c r="L179" s="307">
        <v>30</v>
      </c>
      <c r="M179" s="346" t="s">
        <v>573</v>
      </c>
      <c r="N179" s="347" t="s">
        <v>487</v>
      </c>
      <c r="O179" s="345" t="s">
        <v>520</v>
      </c>
      <c r="P179" s="276">
        <v>0.78</v>
      </c>
      <c r="Q179" s="276">
        <v>0.85</v>
      </c>
      <c r="R179" s="276">
        <v>0.75</v>
      </c>
    </row>
    <row r="180" spans="1:18">
      <c r="A180" s="353"/>
      <c r="B180" s="350"/>
      <c r="C180" s="310"/>
      <c r="D180" s="332"/>
      <c r="E180" s="332"/>
      <c r="F180" s="350"/>
      <c r="G180" s="332"/>
      <c r="H180" s="310"/>
      <c r="I180" s="310"/>
      <c r="J180" s="131" t="s">
        <v>284</v>
      </c>
      <c r="K180" s="131" t="s">
        <v>180</v>
      </c>
      <c r="L180" s="308"/>
      <c r="M180" s="310"/>
      <c r="N180" s="348"/>
      <c r="O180" s="317"/>
      <c r="P180"/>
    </row>
    <row r="181" spans="1:18" ht="15" thickBot="1">
      <c r="A181" s="353"/>
      <c r="B181" s="350"/>
      <c r="C181" s="310"/>
      <c r="D181" s="332"/>
      <c r="E181" s="332"/>
      <c r="F181" s="315"/>
      <c r="G181" s="332"/>
      <c r="H181" s="310"/>
      <c r="I181" s="310"/>
      <c r="J181" s="169" t="s">
        <v>299</v>
      </c>
      <c r="K181" s="169" t="s">
        <v>180</v>
      </c>
      <c r="L181" s="309"/>
      <c r="M181" s="310"/>
      <c r="N181" s="348"/>
      <c r="O181" s="318"/>
      <c r="P181"/>
    </row>
    <row r="182" spans="1:18" ht="15" thickBot="1">
      <c r="A182" s="319">
        <f>+A179+1</f>
        <v>77</v>
      </c>
      <c r="B182" s="322" t="s">
        <v>215</v>
      </c>
      <c r="C182" s="325" t="s">
        <v>488</v>
      </c>
      <c r="D182" s="328" t="s">
        <v>131</v>
      </c>
      <c r="E182" s="322" t="s">
        <v>241</v>
      </c>
      <c r="F182" s="349" t="s">
        <v>224</v>
      </c>
      <c r="G182" s="328" t="s">
        <v>168</v>
      </c>
      <c r="H182" s="340" t="s">
        <v>548</v>
      </c>
      <c r="I182" s="340" t="s">
        <v>549</v>
      </c>
      <c r="J182" s="153" t="s">
        <v>312</v>
      </c>
      <c r="K182" s="153" t="s">
        <v>224</v>
      </c>
      <c r="L182" s="227">
        <v>100</v>
      </c>
      <c r="M182" s="341" t="s">
        <v>568</v>
      </c>
      <c r="N182" s="342" t="s">
        <v>589</v>
      </c>
      <c r="O182" s="345" t="s">
        <v>520</v>
      </c>
      <c r="P182" s="276">
        <v>0.8</v>
      </c>
      <c r="Q182" s="276">
        <v>0.85</v>
      </c>
      <c r="R182" s="276">
        <v>0.75</v>
      </c>
    </row>
    <row r="183" spans="1:18" ht="15" thickBot="1">
      <c r="A183" s="320"/>
      <c r="B183" s="323"/>
      <c r="C183" s="326"/>
      <c r="D183" s="329"/>
      <c r="E183" s="323"/>
      <c r="F183" s="350"/>
      <c r="G183" s="329"/>
      <c r="H183" s="326"/>
      <c r="I183" s="326"/>
      <c r="J183" s="152" t="s">
        <v>437</v>
      </c>
      <c r="K183" s="152" t="s">
        <v>224</v>
      </c>
      <c r="L183" s="227">
        <v>20</v>
      </c>
      <c r="M183" s="326"/>
      <c r="N183" s="343"/>
      <c r="O183" s="317"/>
      <c r="P183"/>
    </row>
    <row r="184" spans="1:18" ht="15" thickBot="1">
      <c r="A184" s="321"/>
      <c r="B184" s="324"/>
      <c r="C184" s="327"/>
      <c r="D184" s="330"/>
      <c r="E184" s="324"/>
      <c r="F184" s="315"/>
      <c r="G184" s="330"/>
      <c r="H184" s="327"/>
      <c r="I184" s="327"/>
      <c r="J184" s="154" t="s">
        <v>448</v>
      </c>
      <c r="K184" s="154">
        <v>6000</v>
      </c>
      <c r="L184" s="223">
        <v>8</v>
      </c>
      <c r="M184" s="327"/>
      <c r="N184" s="344"/>
      <c r="O184" s="318"/>
      <c r="P184"/>
    </row>
    <row r="185" spans="1:18" ht="15" thickBot="1">
      <c r="A185" s="186">
        <f>+A182+1</f>
        <v>78</v>
      </c>
      <c r="B185" s="89" t="s">
        <v>216</v>
      </c>
      <c r="C185" s="115" t="s">
        <v>243</v>
      </c>
      <c r="D185" s="187" t="s">
        <v>133</v>
      </c>
      <c r="E185" s="187" t="s">
        <v>242</v>
      </c>
      <c r="F185" s="187"/>
      <c r="G185" s="187" t="s">
        <v>517</v>
      </c>
      <c r="H185" s="137"/>
      <c r="I185" s="137"/>
      <c r="J185" s="137"/>
      <c r="K185" s="137"/>
      <c r="L185" s="137"/>
      <c r="M185" s="138"/>
      <c r="N185" s="138"/>
      <c r="O185" s="137"/>
      <c r="P185"/>
    </row>
    <row r="186" spans="1:18" ht="15" thickBot="1">
      <c r="A186" s="183">
        <f t="shared" si="2"/>
        <v>79</v>
      </c>
      <c r="B186" s="109" t="s">
        <v>217</v>
      </c>
      <c r="C186" s="184" t="s">
        <v>256</v>
      </c>
      <c r="D186" s="185" t="s">
        <v>131</v>
      </c>
      <c r="E186" s="185" t="s">
        <v>242</v>
      </c>
      <c r="F186" s="185"/>
      <c r="G186" s="185" t="s">
        <v>517</v>
      </c>
      <c r="H186" s="112" t="s">
        <v>489</v>
      </c>
      <c r="I186" s="112"/>
      <c r="J186" s="112" t="s">
        <v>448</v>
      </c>
      <c r="K186" s="112">
        <v>380</v>
      </c>
      <c r="L186" s="112"/>
      <c r="M186" s="184"/>
      <c r="N186" s="113"/>
      <c r="O186" s="112"/>
      <c r="P186"/>
    </row>
    <row r="187" spans="1:18" ht="15" thickBot="1">
      <c r="A187" s="183">
        <f t="shared" si="2"/>
        <v>80</v>
      </c>
      <c r="B187" s="109" t="s">
        <v>218</v>
      </c>
      <c r="C187" s="184" t="s">
        <v>600</v>
      </c>
      <c r="D187" s="185" t="s">
        <v>131</v>
      </c>
      <c r="E187" s="111" t="s">
        <v>242</v>
      </c>
      <c r="F187" s="262" t="s">
        <v>224</v>
      </c>
      <c r="G187" s="185" t="s">
        <v>517</v>
      </c>
      <c r="H187" s="112" t="s">
        <v>490</v>
      </c>
      <c r="I187" s="112" t="s">
        <v>491</v>
      </c>
      <c r="J187" s="112" t="s">
        <v>448</v>
      </c>
      <c r="K187" s="112">
        <v>380</v>
      </c>
      <c r="L187" s="223">
        <v>30</v>
      </c>
      <c r="M187" s="239" t="s">
        <v>565</v>
      </c>
      <c r="N187" s="177" t="s">
        <v>567</v>
      </c>
      <c r="O187" s="112" t="s">
        <v>566</v>
      </c>
      <c r="P187" s="276">
        <v>0.93</v>
      </c>
      <c r="Q187" s="276">
        <v>0.85</v>
      </c>
      <c r="R187" s="276">
        <v>0.75</v>
      </c>
    </row>
    <row r="188" spans="1:18" ht="26.25" customHeight="1" thickBot="1">
      <c r="A188" s="192">
        <f t="shared" si="2"/>
        <v>81</v>
      </c>
      <c r="B188" s="109" t="s">
        <v>219</v>
      </c>
      <c r="C188" s="179" t="s">
        <v>257</v>
      </c>
      <c r="D188" s="193" t="s">
        <v>131</v>
      </c>
      <c r="E188" s="109" t="s">
        <v>241</v>
      </c>
      <c r="F188" s="258" t="s">
        <v>595</v>
      </c>
      <c r="G188" s="193" t="s">
        <v>168</v>
      </c>
      <c r="H188" s="141" t="s">
        <v>495</v>
      </c>
      <c r="I188" s="141" t="s">
        <v>496</v>
      </c>
      <c r="J188" s="141" t="s">
        <v>493</v>
      </c>
      <c r="K188" s="141">
        <v>380</v>
      </c>
      <c r="L188" s="212">
        <v>45</v>
      </c>
      <c r="M188" s="142" t="s">
        <v>497</v>
      </c>
      <c r="N188" s="143" t="s">
        <v>494</v>
      </c>
      <c r="O188" s="141" t="s">
        <v>520</v>
      </c>
      <c r="P188" s="7"/>
      <c r="Q188" s="7"/>
      <c r="R188" s="7"/>
    </row>
    <row r="189" spans="1:18" ht="15" thickBot="1">
      <c r="A189" s="188">
        <f t="shared" si="2"/>
        <v>82</v>
      </c>
      <c r="B189" s="92" t="s">
        <v>250</v>
      </c>
      <c r="C189" s="121" t="s">
        <v>258</v>
      </c>
      <c r="D189" s="189" t="s">
        <v>133</v>
      </c>
      <c r="E189" s="230" t="s">
        <v>242</v>
      </c>
      <c r="F189" s="265" t="s">
        <v>552</v>
      </c>
      <c r="G189" s="189" t="s">
        <v>520</v>
      </c>
      <c r="H189" s="137"/>
      <c r="I189" s="166"/>
      <c r="J189" s="166" t="s">
        <v>446</v>
      </c>
      <c r="K189" s="166">
        <v>380</v>
      </c>
      <c r="L189" s="224"/>
      <c r="M189" s="121"/>
      <c r="N189" s="122"/>
      <c r="O189" s="166"/>
      <c r="P189" s="277"/>
    </row>
    <row r="190" spans="1:18" ht="43.8" thickBot="1">
      <c r="A190" s="190">
        <f t="shared" si="2"/>
        <v>83</v>
      </c>
      <c r="B190" s="92" t="s">
        <v>251</v>
      </c>
      <c r="C190" s="93" t="s">
        <v>261</v>
      </c>
      <c r="D190" s="191" t="s">
        <v>131</v>
      </c>
      <c r="E190" s="92" t="s">
        <v>242</v>
      </c>
      <c r="F190" s="191" t="s">
        <v>577</v>
      </c>
      <c r="G190" s="191" t="s">
        <v>194</v>
      </c>
      <c r="H190" s="194" t="s">
        <v>502</v>
      </c>
      <c r="I190" s="148" t="s">
        <v>588</v>
      </c>
      <c r="J190" s="148" t="s">
        <v>292</v>
      </c>
      <c r="K190" s="148" t="s">
        <v>233</v>
      </c>
      <c r="L190" s="217">
        <v>25</v>
      </c>
      <c r="M190" s="155" t="s">
        <v>501</v>
      </c>
      <c r="N190" s="87" t="s">
        <v>503</v>
      </c>
      <c r="O190" s="245" t="s">
        <v>586</v>
      </c>
      <c r="P190"/>
    </row>
    <row r="191" spans="1:18">
      <c r="A191" s="319">
        <f>+A190+1</f>
        <v>84</v>
      </c>
      <c r="B191" s="322" t="s">
        <v>252</v>
      </c>
      <c r="C191" s="325" t="s">
        <v>262</v>
      </c>
      <c r="D191" s="328" t="s">
        <v>131</v>
      </c>
      <c r="E191" s="322" t="s">
        <v>241</v>
      </c>
      <c r="F191" s="339">
        <v>356</v>
      </c>
      <c r="G191" s="328" t="s">
        <v>518</v>
      </c>
      <c r="H191" s="325" t="s">
        <v>505</v>
      </c>
      <c r="I191" s="325" t="s">
        <v>506</v>
      </c>
      <c r="J191" s="153" t="s">
        <v>507</v>
      </c>
      <c r="K191" s="153">
        <v>356</v>
      </c>
      <c r="L191" s="307">
        <v>120</v>
      </c>
      <c r="M191" s="333" t="s">
        <v>510</v>
      </c>
      <c r="N191" s="336" t="s">
        <v>504</v>
      </c>
      <c r="O191" s="316" t="s">
        <v>587</v>
      </c>
      <c r="P191" s="7"/>
      <c r="Q191" s="7"/>
      <c r="R191" s="7"/>
    </row>
    <row r="192" spans="1:18">
      <c r="A192" s="320"/>
      <c r="B192" s="323"/>
      <c r="C192" s="326"/>
      <c r="D192" s="329"/>
      <c r="E192" s="323"/>
      <c r="F192" s="332"/>
      <c r="G192" s="329"/>
      <c r="H192" s="326"/>
      <c r="I192" s="326"/>
      <c r="J192" s="152" t="s">
        <v>508</v>
      </c>
      <c r="K192" s="152">
        <v>356</v>
      </c>
      <c r="L192" s="308"/>
      <c r="M192" s="334"/>
      <c r="N192" s="337"/>
      <c r="O192" s="317"/>
      <c r="P192"/>
    </row>
    <row r="193" spans="1:18" ht="15" thickBot="1">
      <c r="A193" s="321"/>
      <c r="B193" s="324"/>
      <c r="C193" s="327"/>
      <c r="D193" s="330"/>
      <c r="E193" s="324"/>
      <c r="F193" s="302"/>
      <c r="G193" s="330"/>
      <c r="H193" s="327"/>
      <c r="I193" s="327"/>
      <c r="J193" s="165" t="s">
        <v>509</v>
      </c>
      <c r="K193" s="165">
        <v>356</v>
      </c>
      <c r="L193" s="309"/>
      <c r="M193" s="335"/>
      <c r="N193" s="338"/>
      <c r="O193" s="318"/>
      <c r="P193"/>
    </row>
    <row r="194" spans="1:18" ht="15" thickBot="1">
      <c r="A194" s="183">
        <f>+A191+1</f>
        <v>85</v>
      </c>
      <c r="B194" s="109" t="s">
        <v>253</v>
      </c>
      <c r="C194" s="184" t="s">
        <v>263</v>
      </c>
      <c r="D194" s="185" t="s">
        <v>133</v>
      </c>
      <c r="E194" s="185" t="s">
        <v>242</v>
      </c>
      <c r="F194" s="185"/>
      <c r="G194" s="185" t="s">
        <v>517</v>
      </c>
      <c r="H194" s="112" t="s">
        <v>511</v>
      </c>
      <c r="I194" s="112" t="s">
        <v>512</v>
      </c>
      <c r="J194" s="112" t="s">
        <v>448</v>
      </c>
      <c r="K194" s="112">
        <v>380</v>
      </c>
      <c r="L194" s="112"/>
      <c r="M194" s="184" t="s">
        <v>513</v>
      </c>
      <c r="N194" s="177"/>
      <c r="O194" s="112"/>
      <c r="P194"/>
    </row>
    <row r="195" spans="1:18" ht="15" thickBot="1">
      <c r="A195" s="183">
        <f t="shared" si="2"/>
        <v>86</v>
      </c>
      <c r="B195" s="109" t="s">
        <v>254</v>
      </c>
      <c r="C195" s="184" t="s">
        <v>264</v>
      </c>
      <c r="D195" s="185" t="s">
        <v>133</v>
      </c>
      <c r="E195" s="111" t="s">
        <v>242</v>
      </c>
      <c r="F195" s="185" t="s">
        <v>552</v>
      </c>
      <c r="G195" s="185" t="s">
        <v>517</v>
      </c>
      <c r="H195" s="112" t="s">
        <v>264</v>
      </c>
      <c r="I195" s="112" t="s">
        <v>514</v>
      </c>
      <c r="J195" s="112" t="s">
        <v>448</v>
      </c>
      <c r="K195" s="112">
        <v>6000</v>
      </c>
      <c r="L195" s="223">
        <v>20</v>
      </c>
      <c r="M195" s="176"/>
      <c r="N195" s="177"/>
      <c r="O195" s="112" t="s">
        <v>520</v>
      </c>
      <c r="P195"/>
    </row>
    <row r="196" spans="1:18" ht="15" thickBot="1">
      <c r="A196" s="188">
        <f t="shared" si="2"/>
        <v>87</v>
      </c>
      <c r="B196" s="92" t="s">
        <v>255</v>
      </c>
      <c r="C196" s="121" t="s">
        <v>275</v>
      </c>
      <c r="D196" s="189" t="s">
        <v>131</v>
      </c>
      <c r="E196" s="230" t="s">
        <v>241</v>
      </c>
      <c r="F196" s="262" t="s">
        <v>224</v>
      </c>
      <c r="G196" s="189" t="s">
        <v>517</v>
      </c>
      <c r="H196" s="166" t="s">
        <v>515</v>
      </c>
      <c r="I196" s="166" t="s">
        <v>564</v>
      </c>
      <c r="J196" s="148" t="s">
        <v>550</v>
      </c>
      <c r="K196" s="166">
        <v>380</v>
      </c>
      <c r="L196" s="224">
        <v>25</v>
      </c>
      <c r="M196" s="238" t="s">
        <v>562</v>
      </c>
      <c r="N196" s="122" t="s">
        <v>563</v>
      </c>
      <c r="O196" s="166" t="s">
        <v>520</v>
      </c>
      <c r="P196" s="276">
        <v>0.82</v>
      </c>
      <c r="Q196" s="276">
        <v>0.85</v>
      </c>
      <c r="R196" s="276">
        <v>0.75</v>
      </c>
    </row>
    <row r="197" spans="1:18">
      <c r="A197" s="319">
        <f t="shared" si="2"/>
        <v>88</v>
      </c>
      <c r="B197" s="322" t="s">
        <v>265</v>
      </c>
      <c r="C197" s="325" t="s">
        <v>521</v>
      </c>
      <c r="D197" s="328" t="s">
        <v>133</v>
      </c>
      <c r="E197" s="322" t="s">
        <v>241</v>
      </c>
      <c r="F197" s="331" t="s">
        <v>552</v>
      </c>
      <c r="G197" s="328" t="s">
        <v>517</v>
      </c>
      <c r="H197" s="325" t="s">
        <v>521</v>
      </c>
      <c r="I197" s="325" t="s">
        <v>522</v>
      </c>
      <c r="J197" s="153" t="s">
        <v>448</v>
      </c>
      <c r="K197" s="153">
        <v>380</v>
      </c>
      <c r="L197" s="307">
        <v>25</v>
      </c>
      <c r="M197" s="303"/>
      <c r="N197" s="303"/>
      <c r="O197" s="311" t="s">
        <v>520</v>
      </c>
      <c r="P197" s="276">
        <v>0.88</v>
      </c>
      <c r="Q197" s="276">
        <v>0.85</v>
      </c>
      <c r="R197" s="276">
        <v>0.75</v>
      </c>
    </row>
    <row r="198" spans="1:18">
      <c r="A198" s="320"/>
      <c r="B198" s="323"/>
      <c r="C198" s="326"/>
      <c r="D198" s="329"/>
      <c r="E198" s="323"/>
      <c r="F198" s="332"/>
      <c r="G198" s="329"/>
      <c r="H198" s="326"/>
      <c r="I198" s="326"/>
      <c r="J198" s="152" t="s">
        <v>523</v>
      </c>
      <c r="K198" s="152">
        <v>380</v>
      </c>
      <c r="L198" s="308"/>
      <c r="M198" s="310"/>
      <c r="N198" s="310"/>
      <c r="O198" s="310"/>
      <c r="P198"/>
    </row>
    <row r="199" spans="1:18">
      <c r="A199" s="320"/>
      <c r="B199" s="323"/>
      <c r="C199" s="326"/>
      <c r="D199" s="329"/>
      <c r="E199" s="323"/>
      <c r="F199" s="332"/>
      <c r="G199" s="329"/>
      <c r="H199" s="326"/>
      <c r="I199" s="326"/>
      <c r="J199" s="152" t="s">
        <v>524</v>
      </c>
      <c r="K199" s="152">
        <v>380</v>
      </c>
      <c r="L199" s="308"/>
      <c r="M199" s="310"/>
      <c r="N199" s="310"/>
      <c r="O199" s="310"/>
      <c r="P199"/>
    </row>
    <row r="200" spans="1:18" ht="15" thickBot="1">
      <c r="A200" s="321"/>
      <c r="B200" s="324"/>
      <c r="C200" s="327"/>
      <c r="D200" s="330"/>
      <c r="E200" s="324"/>
      <c r="F200" s="302"/>
      <c r="G200" s="330"/>
      <c r="H200" s="327"/>
      <c r="I200" s="327"/>
      <c r="J200" s="116" t="s">
        <v>525</v>
      </c>
      <c r="K200" s="116">
        <v>6000</v>
      </c>
      <c r="L200" s="308"/>
      <c r="M200" s="310"/>
      <c r="N200" s="310"/>
      <c r="O200" s="310"/>
      <c r="P200"/>
    </row>
    <row r="201" spans="1:18" ht="15" thickBot="1">
      <c r="A201" s="183">
        <f>+A197+1</f>
        <v>89</v>
      </c>
      <c r="B201" s="109" t="s">
        <v>266</v>
      </c>
      <c r="C201" s="184" t="s">
        <v>578</v>
      </c>
      <c r="D201" s="185" t="s">
        <v>133</v>
      </c>
      <c r="E201" s="185" t="s">
        <v>242</v>
      </c>
      <c r="F201" s="185" t="s">
        <v>552</v>
      </c>
      <c r="G201" s="242" t="s">
        <v>517</v>
      </c>
      <c r="H201" s="112" t="s">
        <v>585</v>
      </c>
      <c r="I201" s="112" t="s">
        <v>539</v>
      </c>
      <c r="J201" s="141" t="s">
        <v>541</v>
      </c>
      <c r="K201" s="112">
        <v>380</v>
      </c>
      <c r="L201" s="309"/>
      <c r="M201" s="304"/>
      <c r="N201" s="304"/>
      <c r="O201" s="304"/>
      <c r="P201"/>
    </row>
    <row r="202" spans="1:18" ht="15" thickBot="1">
      <c r="A202" s="183">
        <f>+A201+1</f>
        <v>90</v>
      </c>
      <c r="B202" s="109" t="s">
        <v>267</v>
      </c>
      <c r="C202" s="184" t="s">
        <v>535</v>
      </c>
      <c r="D202" s="185" t="s">
        <v>131</v>
      </c>
      <c r="E202" s="111" t="s">
        <v>241</v>
      </c>
      <c r="F202" s="264" t="s">
        <v>224</v>
      </c>
      <c r="G202" s="185" t="s">
        <v>517</v>
      </c>
      <c r="H202" s="184" t="s">
        <v>561</v>
      </c>
      <c r="I202" s="184" t="s">
        <v>538</v>
      </c>
      <c r="J202" s="141" t="s">
        <v>542</v>
      </c>
      <c r="K202" s="184">
        <v>380</v>
      </c>
      <c r="L202" s="243">
        <v>25</v>
      </c>
      <c r="M202" s="239" t="s">
        <v>560</v>
      </c>
      <c r="N202" s="184" t="s">
        <v>559</v>
      </c>
      <c r="O202" s="112" t="s">
        <v>520</v>
      </c>
      <c r="P202" s="276">
        <v>0.84</v>
      </c>
      <c r="Q202" s="276">
        <v>0.85</v>
      </c>
      <c r="R202" s="276">
        <v>0.75</v>
      </c>
    </row>
    <row r="203" spans="1:18" ht="15" thickBot="1">
      <c r="A203" s="183">
        <f>+A202+1</f>
        <v>91</v>
      </c>
      <c r="B203" s="109" t="s">
        <v>268</v>
      </c>
      <c r="C203" s="184" t="s">
        <v>581</v>
      </c>
      <c r="D203" s="185" t="s">
        <v>133</v>
      </c>
      <c r="E203" s="111" t="s">
        <v>241</v>
      </c>
      <c r="F203" s="258" t="s">
        <v>595</v>
      </c>
      <c r="G203" s="185" t="s">
        <v>517</v>
      </c>
      <c r="H203" s="184" t="s">
        <v>536</v>
      </c>
      <c r="I203" s="184" t="s">
        <v>540</v>
      </c>
      <c r="J203" s="141" t="s">
        <v>469</v>
      </c>
      <c r="K203" s="184">
        <v>380</v>
      </c>
      <c r="L203" s="243" t="s">
        <v>580</v>
      </c>
      <c r="M203" s="239" t="s">
        <v>582</v>
      </c>
      <c r="N203" s="176" t="s">
        <v>583</v>
      </c>
      <c r="O203" s="184" t="s">
        <v>584</v>
      </c>
      <c r="P203" s="7"/>
      <c r="Q203" s="7"/>
      <c r="R203" s="7"/>
    </row>
    <row r="204" spans="1:18" ht="15" thickBot="1">
      <c r="A204" s="183">
        <f>+A203+1</f>
        <v>92</v>
      </c>
      <c r="B204" s="109" t="s">
        <v>527</v>
      </c>
      <c r="C204" s="184" t="s">
        <v>603</v>
      </c>
      <c r="D204" s="185" t="s">
        <v>131</v>
      </c>
      <c r="E204" s="185" t="s">
        <v>242</v>
      </c>
      <c r="F204" s="242" t="s">
        <v>554</v>
      </c>
      <c r="G204" s="242" t="s">
        <v>517</v>
      </c>
      <c r="H204" s="112" t="s">
        <v>604</v>
      </c>
      <c r="I204" s="112" t="s">
        <v>606</v>
      </c>
      <c r="J204" s="112" t="s">
        <v>605</v>
      </c>
      <c r="K204" s="112">
        <v>380</v>
      </c>
      <c r="L204" s="112" t="s">
        <v>607</v>
      </c>
      <c r="M204" s="176"/>
      <c r="N204" s="176"/>
      <c r="O204" s="113" t="s">
        <v>520</v>
      </c>
      <c r="P204" s="7"/>
      <c r="Q204" s="7"/>
      <c r="R204" s="7"/>
    </row>
    <row r="205" spans="1:18" s="25" customFormat="1">
      <c r="A205" s="312">
        <f t="shared" ref="A205:A216" si="3">+A204+1</f>
        <v>93</v>
      </c>
      <c r="B205" s="314" t="s">
        <v>528</v>
      </c>
      <c r="C205" s="303" t="s">
        <v>313</v>
      </c>
      <c r="D205" s="301" t="s">
        <v>133</v>
      </c>
      <c r="E205" s="301" t="s">
        <v>241</v>
      </c>
      <c r="F205" s="301" t="s">
        <v>180</v>
      </c>
      <c r="G205" s="301" t="s">
        <v>520</v>
      </c>
      <c r="H205" s="303" t="s">
        <v>313</v>
      </c>
      <c r="I205" s="303" t="s">
        <v>601</v>
      </c>
      <c r="J205" s="153" t="s">
        <v>288</v>
      </c>
      <c r="K205" s="153" t="s">
        <v>180</v>
      </c>
      <c r="L205" s="153" t="s">
        <v>580</v>
      </c>
      <c r="M205" s="303"/>
      <c r="N205" s="303"/>
      <c r="O205" s="305" t="s">
        <v>520</v>
      </c>
      <c r="P205" s="152"/>
      <c r="Q205" s="152"/>
      <c r="R205" s="152"/>
    </row>
    <row r="206" spans="1:18" s="25" customFormat="1" ht="15" thickBot="1">
      <c r="A206" s="313"/>
      <c r="B206" s="315"/>
      <c r="C206" s="304"/>
      <c r="D206" s="302"/>
      <c r="E206" s="302"/>
      <c r="F206" s="302"/>
      <c r="G206" s="302"/>
      <c r="H206" s="304"/>
      <c r="I206" s="304"/>
      <c r="J206" s="154" t="s">
        <v>288</v>
      </c>
      <c r="K206" s="154">
        <v>6000</v>
      </c>
      <c r="L206" s="154" t="s">
        <v>602</v>
      </c>
      <c r="M206" s="304"/>
      <c r="N206" s="304"/>
      <c r="O206" s="306"/>
    </row>
    <row r="207" spans="1:18" ht="15" thickBot="1">
      <c r="A207" s="183">
        <v>94</v>
      </c>
      <c r="B207" s="58" t="s">
        <v>529</v>
      </c>
      <c r="C207" s="147" t="s">
        <v>613</v>
      </c>
      <c r="D207" s="182" t="s">
        <v>133</v>
      </c>
      <c r="E207" s="185" t="s">
        <v>242</v>
      </c>
      <c r="F207" s="196" t="s">
        <v>224</v>
      </c>
      <c r="G207" s="242" t="s">
        <v>517</v>
      </c>
      <c r="H207" s="146" t="s">
        <v>613</v>
      </c>
      <c r="I207" s="146" t="s">
        <v>629</v>
      </c>
      <c r="J207" s="76"/>
      <c r="K207" s="76"/>
      <c r="L207" s="76"/>
      <c r="M207" s="107"/>
      <c r="N207" s="107"/>
      <c r="O207" s="146"/>
      <c r="P207"/>
    </row>
    <row r="208" spans="1:18" ht="15" thickBot="1">
      <c r="A208" s="183">
        <f>+A207+1</f>
        <v>95</v>
      </c>
      <c r="B208" s="20" t="s">
        <v>530</v>
      </c>
      <c r="C208" s="6" t="s">
        <v>614</v>
      </c>
      <c r="D208" s="18" t="s">
        <v>133</v>
      </c>
      <c r="E208" s="111" t="s">
        <v>241</v>
      </c>
      <c r="F208" s="196" t="s">
        <v>224</v>
      </c>
      <c r="G208" s="242" t="s">
        <v>517</v>
      </c>
      <c r="H208" s="6" t="s">
        <v>614</v>
      </c>
      <c r="I208" s="6" t="s">
        <v>630</v>
      </c>
      <c r="J208" s="7"/>
      <c r="K208" s="7"/>
      <c r="L208" s="7"/>
      <c r="M208" s="7"/>
      <c r="N208" s="7"/>
      <c r="O208" s="6"/>
      <c r="P208"/>
    </row>
    <row r="209" spans="1:16" ht="15" thickBot="1">
      <c r="A209" s="183">
        <f>+A208+1</f>
        <v>96</v>
      </c>
      <c r="B209" s="58" t="s">
        <v>531</v>
      </c>
      <c r="C209" s="6" t="s">
        <v>615</v>
      </c>
      <c r="D209" s="18" t="s">
        <v>131</v>
      </c>
      <c r="E209" s="111" t="s">
        <v>241</v>
      </c>
      <c r="F209" s="196" t="s">
        <v>224</v>
      </c>
      <c r="G209" s="242" t="s">
        <v>517</v>
      </c>
      <c r="H209" s="7"/>
      <c r="I209" s="7"/>
      <c r="J209" s="7"/>
      <c r="K209" s="7"/>
      <c r="L209" s="7"/>
      <c r="M209" s="7"/>
      <c r="N209" s="7"/>
      <c r="O209" s="6"/>
      <c r="P209"/>
    </row>
    <row r="210" spans="1:16" ht="15" thickBot="1">
      <c r="A210" s="190">
        <f t="shared" si="3"/>
        <v>97</v>
      </c>
      <c r="B210" s="20" t="s">
        <v>532</v>
      </c>
      <c r="C210" s="147" t="s">
        <v>619</v>
      </c>
      <c r="D210" s="182" t="s">
        <v>133</v>
      </c>
      <c r="E210" s="111" t="s">
        <v>241</v>
      </c>
      <c r="F210" s="196" t="s">
        <v>224</v>
      </c>
      <c r="G210" s="242" t="s">
        <v>517</v>
      </c>
      <c r="H210" s="76"/>
      <c r="I210" s="76"/>
      <c r="J210" s="76"/>
      <c r="K210" s="76"/>
      <c r="L210" s="76"/>
      <c r="M210" s="107"/>
      <c r="N210" s="107"/>
      <c r="O210" s="146"/>
      <c r="P210"/>
    </row>
    <row r="211" spans="1:16" ht="15" thickBot="1">
      <c r="A211" s="271">
        <v>98</v>
      </c>
      <c r="B211" s="58" t="s">
        <v>533</v>
      </c>
      <c r="C211" s="6" t="s">
        <v>626</v>
      </c>
      <c r="D211" s="182" t="s">
        <v>133</v>
      </c>
      <c r="E211" s="18" t="s">
        <v>242</v>
      </c>
      <c r="F211" s="196" t="s">
        <v>224</v>
      </c>
      <c r="G211" s="242" t="s">
        <v>517</v>
      </c>
      <c r="H211" s="7"/>
      <c r="I211" s="7"/>
      <c r="J211" s="7"/>
      <c r="K211" s="7"/>
      <c r="L211" s="7"/>
      <c r="M211" s="7"/>
      <c r="N211" s="7"/>
      <c r="O211" s="6"/>
      <c r="P211"/>
    </row>
    <row r="212" spans="1:16" ht="15" thickBot="1">
      <c r="A212" s="271">
        <f t="shared" si="3"/>
        <v>99</v>
      </c>
      <c r="B212" s="58" t="s">
        <v>534</v>
      </c>
      <c r="C212" s="6" t="s">
        <v>627</v>
      </c>
      <c r="D212" s="18" t="s">
        <v>131</v>
      </c>
      <c r="E212" s="111" t="s">
        <v>241</v>
      </c>
      <c r="F212" s="196" t="s">
        <v>224</v>
      </c>
      <c r="G212" s="281" t="s">
        <v>517</v>
      </c>
      <c r="H212" s="85"/>
      <c r="I212" s="85"/>
      <c r="J212" s="85"/>
      <c r="K212" s="85"/>
      <c r="L212" s="85"/>
      <c r="M212" s="85"/>
      <c r="N212" s="85"/>
      <c r="O212" s="114"/>
      <c r="P212"/>
    </row>
    <row r="213" spans="1:16" ht="15" thickBot="1">
      <c r="A213" s="271">
        <f t="shared" si="3"/>
        <v>100</v>
      </c>
      <c r="B213" s="58" t="s">
        <v>622</v>
      </c>
      <c r="C213" s="6" t="s">
        <v>628</v>
      </c>
      <c r="D213" s="182" t="s">
        <v>133</v>
      </c>
      <c r="E213" s="111" t="s">
        <v>241</v>
      </c>
      <c r="F213" s="196" t="s">
        <v>224</v>
      </c>
      <c r="G213" s="18" t="s">
        <v>517</v>
      </c>
      <c r="H213" s="7"/>
      <c r="I213" s="6"/>
      <c r="J213" s="152"/>
      <c r="K213" s="7"/>
      <c r="L213" s="282"/>
      <c r="M213" s="6"/>
      <c r="N213" s="7"/>
      <c r="O213" s="6"/>
    </row>
    <row r="214" spans="1:16" ht="15" thickBot="1">
      <c r="A214" s="271">
        <f t="shared" si="3"/>
        <v>101</v>
      </c>
      <c r="B214" s="58" t="s">
        <v>623</v>
      </c>
      <c r="C214" s="6" t="s">
        <v>631</v>
      </c>
      <c r="D214" s="18" t="s">
        <v>131</v>
      </c>
      <c r="E214" s="111" t="s">
        <v>241</v>
      </c>
      <c r="F214" s="196" t="s">
        <v>224</v>
      </c>
      <c r="G214" s="18"/>
      <c r="H214" s="7"/>
      <c r="I214" s="7"/>
      <c r="J214" s="7"/>
      <c r="K214" s="7"/>
      <c r="L214" s="282"/>
      <c r="M214" s="6"/>
      <c r="N214" s="7"/>
      <c r="O214" s="6"/>
    </row>
    <row r="215" spans="1:16" ht="15" thickBot="1">
      <c r="A215" s="271">
        <f t="shared" si="3"/>
        <v>102</v>
      </c>
      <c r="B215" s="58" t="s">
        <v>624</v>
      </c>
      <c r="C215" s="6" t="s">
        <v>632</v>
      </c>
      <c r="D215" s="18" t="s">
        <v>131</v>
      </c>
      <c r="E215" s="111" t="s">
        <v>241</v>
      </c>
      <c r="F215" s="196" t="s">
        <v>224</v>
      </c>
      <c r="G215" s="18"/>
      <c r="H215" s="7"/>
      <c r="I215" s="7"/>
      <c r="J215" s="7"/>
      <c r="K215" s="7"/>
      <c r="L215" s="282"/>
      <c r="M215" s="6"/>
      <c r="N215" s="7"/>
      <c r="O215" s="6"/>
    </row>
    <row r="216" spans="1:16" ht="15" thickBot="1">
      <c r="A216" s="271">
        <f t="shared" si="3"/>
        <v>103</v>
      </c>
      <c r="B216" s="58" t="s">
        <v>625</v>
      </c>
      <c r="C216" s="6" t="s">
        <v>259</v>
      </c>
      <c r="D216" s="18"/>
      <c r="E216" s="18"/>
      <c r="F216" s="18"/>
      <c r="G216" s="18"/>
      <c r="H216" s="7"/>
      <c r="I216" s="7"/>
      <c r="J216" s="7"/>
      <c r="K216" s="7"/>
      <c r="L216" s="282"/>
      <c r="M216" s="6"/>
      <c r="N216" s="7"/>
      <c r="O216" s="6"/>
    </row>
    <row r="235" spans="4:5" ht="15.6">
      <c r="D235" s="256"/>
      <c r="E235" s="300"/>
    </row>
    <row r="236" spans="4:5" ht="15.6">
      <c r="D236" s="256"/>
      <c r="E236" s="300"/>
    </row>
    <row r="237" spans="4:5" ht="15.6">
      <c r="D237" s="256"/>
      <c r="E237" s="300"/>
    </row>
    <row r="238" spans="4:5" ht="15.6">
      <c r="D238" s="256"/>
      <c r="E238" s="300"/>
    </row>
    <row r="239" spans="4:5" ht="15.6">
      <c r="D239" s="256"/>
      <c r="E239" s="300"/>
    </row>
    <row r="240" spans="4:5" ht="15.6">
      <c r="D240" s="256"/>
      <c r="E240" s="300"/>
    </row>
    <row r="241" spans="4:5" ht="15.6">
      <c r="D241" s="256"/>
      <c r="E241" s="300"/>
    </row>
    <row r="242" spans="4:5" ht="15.6">
      <c r="D242" s="256"/>
      <c r="E242" s="300"/>
    </row>
    <row r="243" spans="4:5" ht="15.6">
      <c r="D243" s="256"/>
      <c r="E243" s="300"/>
    </row>
    <row r="244" spans="4:5" ht="15.6">
      <c r="D244" s="256"/>
      <c r="E244" s="300"/>
    </row>
    <row r="245" spans="4:5" ht="15.6">
      <c r="D245" s="256"/>
      <c r="E245" s="300"/>
    </row>
    <row r="246" spans="4:5" ht="15.6">
      <c r="D246" s="256"/>
      <c r="E246" s="300"/>
    </row>
    <row r="247" spans="4:5" ht="15.6">
      <c r="D247" s="256"/>
      <c r="E247" s="300"/>
    </row>
    <row r="248" spans="4:5" ht="15.6">
      <c r="D248" s="256"/>
      <c r="E248" s="300"/>
    </row>
    <row r="249" spans="4:5" ht="15.6">
      <c r="D249" s="256"/>
      <c r="E249" s="300"/>
    </row>
    <row r="250" spans="4:5" ht="15.6">
      <c r="D250" s="256"/>
      <c r="E250" s="300"/>
    </row>
    <row r="251" spans="4:5" ht="15.6">
      <c r="D251" s="256"/>
      <c r="E251" s="300"/>
    </row>
    <row r="252" spans="4:5" ht="15.6">
      <c r="D252" s="256"/>
      <c r="E252" s="300"/>
    </row>
    <row r="253" spans="4:5" ht="15.6">
      <c r="D253" s="256"/>
      <c r="E253" s="300"/>
    </row>
    <row r="254" spans="4:5" ht="15.6">
      <c r="D254" s="256"/>
      <c r="E254" s="300"/>
    </row>
    <row r="255" spans="4:5" ht="15.6">
      <c r="D255" s="256"/>
      <c r="E255" s="300"/>
    </row>
    <row r="256" spans="4:5" ht="15.6">
      <c r="D256" s="256"/>
      <c r="E256" s="300"/>
    </row>
    <row r="257" spans="4:5" ht="15.6">
      <c r="D257" s="256"/>
      <c r="E257" s="300"/>
    </row>
    <row r="258" spans="4:5" ht="15.6">
      <c r="D258" s="256"/>
      <c r="E258" s="300"/>
    </row>
    <row r="259" spans="4:5" ht="15.6">
      <c r="D259" s="256"/>
      <c r="E259" s="300"/>
    </row>
    <row r="260" spans="4:5" ht="15.6">
      <c r="D260" s="256"/>
      <c r="E260" s="300"/>
    </row>
    <row r="261" spans="4:5" ht="15.6">
      <c r="D261" s="256"/>
      <c r="E261" s="300"/>
    </row>
    <row r="262" spans="4:5" ht="15.6">
      <c r="D262" s="256"/>
      <c r="E262" s="300"/>
    </row>
  </sheetData>
  <autoFilter ref="A5:O216" xr:uid="{CB3395C7-DED4-4694-A52D-4677CA244917}"/>
  <mergeCells count="474">
    <mergeCell ref="P5:R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M6:M8"/>
    <mergeCell ref="N6:N8"/>
    <mergeCell ref="O6:O8"/>
    <mergeCell ref="A1:B4"/>
    <mergeCell ref="C1:C3"/>
    <mergeCell ref="J1:K2"/>
    <mergeCell ref="O9:O12"/>
    <mergeCell ref="A15:A19"/>
    <mergeCell ref="B15:B19"/>
    <mergeCell ref="C15:C19"/>
    <mergeCell ref="D15:D19"/>
    <mergeCell ref="E15:E19"/>
    <mergeCell ref="F15:F19"/>
    <mergeCell ref="G15:G19"/>
    <mergeCell ref="H15:H19"/>
    <mergeCell ref="I15:I19"/>
    <mergeCell ref="G9:G12"/>
    <mergeCell ref="H9:H12"/>
    <mergeCell ref="I9:I12"/>
    <mergeCell ref="L9:L12"/>
    <mergeCell ref="M9:M12"/>
    <mergeCell ref="N9:N12"/>
    <mergeCell ref="A9:A12"/>
    <mergeCell ref="B9:B12"/>
    <mergeCell ref="C9:C12"/>
    <mergeCell ref="D9:D12"/>
    <mergeCell ref="E9:E12"/>
    <mergeCell ref="F9:F12"/>
    <mergeCell ref="M15:M19"/>
    <mergeCell ref="N15:N19"/>
    <mergeCell ref="A22:A25"/>
    <mergeCell ref="B22:B25"/>
    <mergeCell ref="C22:C25"/>
    <mergeCell ref="D22:D25"/>
    <mergeCell ref="E22:E25"/>
    <mergeCell ref="F22:F25"/>
    <mergeCell ref="G22:G25"/>
    <mergeCell ref="H22:H25"/>
    <mergeCell ref="I22:I25"/>
    <mergeCell ref="M22:M25"/>
    <mergeCell ref="N22:N25"/>
    <mergeCell ref="F27:F28"/>
    <mergeCell ref="A29:A31"/>
    <mergeCell ref="B29:B31"/>
    <mergeCell ref="C29:C31"/>
    <mergeCell ref="D29:D31"/>
    <mergeCell ref="E29:E31"/>
    <mergeCell ref="F29:F31"/>
    <mergeCell ref="O29:O31"/>
    <mergeCell ref="A33:A36"/>
    <mergeCell ref="B33:B36"/>
    <mergeCell ref="C33:C36"/>
    <mergeCell ref="D33:D36"/>
    <mergeCell ref="E33:E36"/>
    <mergeCell ref="G33:G36"/>
    <mergeCell ref="H33:H36"/>
    <mergeCell ref="I33:I36"/>
    <mergeCell ref="M33:M36"/>
    <mergeCell ref="G29:G31"/>
    <mergeCell ref="H29:H31"/>
    <mergeCell ref="I29:I31"/>
    <mergeCell ref="L29:L31"/>
    <mergeCell ref="M29:M31"/>
    <mergeCell ref="N29:N31"/>
    <mergeCell ref="N33:N36"/>
    <mergeCell ref="F34:F35"/>
    <mergeCell ref="A38:A41"/>
    <mergeCell ref="B38:B41"/>
    <mergeCell ref="C38:C41"/>
    <mergeCell ref="D38:D41"/>
    <mergeCell ref="E38:E41"/>
    <mergeCell ref="G38:G41"/>
    <mergeCell ref="H38:H41"/>
    <mergeCell ref="I38:I41"/>
    <mergeCell ref="M38:M41"/>
    <mergeCell ref="N38:N41"/>
    <mergeCell ref="A43:A45"/>
    <mergeCell ref="B43:B45"/>
    <mergeCell ref="C43:C45"/>
    <mergeCell ref="D43:D45"/>
    <mergeCell ref="E43:E45"/>
    <mergeCell ref="F43:F45"/>
    <mergeCell ref="G43:G45"/>
    <mergeCell ref="H43:H45"/>
    <mergeCell ref="I43:I45"/>
    <mergeCell ref="M43:M45"/>
    <mergeCell ref="N43:N45"/>
    <mergeCell ref="N49:N54"/>
    <mergeCell ref="A55:A56"/>
    <mergeCell ref="B55:B56"/>
    <mergeCell ref="C55:C56"/>
    <mergeCell ref="D55:D56"/>
    <mergeCell ref="E55:E56"/>
    <mergeCell ref="G55:G56"/>
    <mergeCell ref="H55:H56"/>
    <mergeCell ref="I55:I56"/>
    <mergeCell ref="M55:M56"/>
    <mergeCell ref="N55:N56"/>
    <mergeCell ref="A49:A54"/>
    <mergeCell ref="B49:B54"/>
    <mergeCell ref="C49:C54"/>
    <mergeCell ref="D49:D54"/>
    <mergeCell ref="E49:E54"/>
    <mergeCell ref="G49:G54"/>
    <mergeCell ref="H49:H54"/>
    <mergeCell ref="I49:I54"/>
    <mergeCell ref="M49:M54"/>
    <mergeCell ref="L58:L59"/>
    <mergeCell ref="N58:N59"/>
    <mergeCell ref="O58:O59"/>
    <mergeCell ref="A61:A62"/>
    <mergeCell ref="B61:B62"/>
    <mergeCell ref="C61:C62"/>
    <mergeCell ref="D61:D62"/>
    <mergeCell ref="E61:E62"/>
    <mergeCell ref="G61:G62"/>
    <mergeCell ref="H61:H62"/>
    <mergeCell ref="I61:I62"/>
    <mergeCell ref="M61:M62"/>
    <mergeCell ref="N61:N62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A63:A66"/>
    <mergeCell ref="B63:B66"/>
    <mergeCell ref="C63:C66"/>
    <mergeCell ref="D63:D66"/>
    <mergeCell ref="E63:E66"/>
    <mergeCell ref="N67:N68"/>
    <mergeCell ref="A70:A74"/>
    <mergeCell ref="B70:B74"/>
    <mergeCell ref="C70:C74"/>
    <mergeCell ref="D70:D74"/>
    <mergeCell ref="E70:E74"/>
    <mergeCell ref="G63:G66"/>
    <mergeCell ref="H63:H66"/>
    <mergeCell ref="I63:I66"/>
    <mergeCell ref="M63:M66"/>
    <mergeCell ref="N63:N66"/>
    <mergeCell ref="A67:A68"/>
    <mergeCell ref="B67:B68"/>
    <mergeCell ref="C67:C68"/>
    <mergeCell ref="D67:D68"/>
    <mergeCell ref="E67:E68"/>
    <mergeCell ref="G67:G68"/>
    <mergeCell ref="H67:H68"/>
    <mergeCell ref="I67:I68"/>
    <mergeCell ref="M67:M68"/>
    <mergeCell ref="F76:F86"/>
    <mergeCell ref="G76:G86"/>
    <mergeCell ref="H76:H86"/>
    <mergeCell ref="I76:I86"/>
    <mergeCell ref="M76:M86"/>
    <mergeCell ref="G70:G74"/>
    <mergeCell ref="H70:H74"/>
    <mergeCell ref="I70:I74"/>
    <mergeCell ref="M70:M74"/>
    <mergeCell ref="N70:N74"/>
    <mergeCell ref="G91:G95"/>
    <mergeCell ref="H91:H95"/>
    <mergeCell ref="I91:I95"/>
    <mergeCell ref="M91:M95"/>
    <mergeCell ref="N91:N95"/>
    <mergeCell ref="N101:N104"/>
    <mergeCell ref="A97:A100"/>
    <mergeCell ref="B97:B100"/>
    <mergeCell ref="C97:C100"/>
    <mergeCell ref="D97:D100"/>
    <mergeCell ref="E97:E100"/>
    <mergeCell ref="D91:D95"/>
    <mergeCell ref="E91:E95"/>
    <mergeCell ref="N76:N86"/>
    <mergeCell ref="F91:F95"/>
    <mergeCell ref="A76:A86"/>
    <mergeCell ref="B76:B86"/>
    <mergeCell ref="C76:C86"/>
    <mergeCell ref="D76:D86"/>
    <mergeCell ref="E76:E86"/>
    <mergeCell ref="A91:A95"/>
    <mergeCell ref="B91:B95"/>
    <mergeCell ref="C91:C95"/>
    <mergeCell ref="A105:A107"/>
    <mergeCell ref="B105:B107"/>
    <mergeCell ref="C105:C107"/>
    <mergeCell ref="D105:D107"/>
    <mergeCell ref="E105:E107"/>
    <mergeCell ref="N108:N110"/>
    <mergeCell ref="N105:N107"/>
    <mergeCell ref="G97:G100"/>
    <mergeCell ref="H97:H100"/>
    <mergeCell ref="I97:I100"/>
    <mergeCell ref="M97:M100"/>
    <mergeCell ref="N97:N100"/>
    <mergeCell ref="A101:A104"/>
    <mergeCell ref="B101:B104"/>
    <mergeCell ref="C101:C104"/>
    <mergeCell ref="D101:D104"/>
    <mergeCell ref="E101:E104"/>
    <mergeCell ref="G101:G104"/>
    <mergeCell ref="H101:H104"/>
    <mergeCell ref="I101:I104"/>
    <mergeCell ref="M101:M104"/>
    <mergeCell ref="G105:G107"/>
    <mergeCell ref="H105:H107"/>
    <mergeCell ref="I105:I107"/>
    <mergeCell ref="M105:M107"/>
    <mergeCell ref="A108:A110"/>
    <mergeCell ref="B108:B110"/>
    <mergeCell ref="C108:C110"/>
    <mergeCell ref="D108:D110"/>
    <mergeCell ref="E108:E110"/>
    <mergeCell ref="A117:A120"/>
    <mergeCell ref="B117:B120"/>
    <mergeCell ref="C117:C120"/>
    <mergeCell ref="D117:D120"/>
    <mergeCell ref="E117:E120"/>
    <mergeCell ref="G108:G110"/>
    <mergeCell ref="H108:H110"/>
    <mergeCell ref="I108:I110"/>
    <mergeCell ref="M108:M110"/>
    <mergeCell ref="F117:F120"/>
    <mergeCell ref="G117:G120"/>
    <mergeCell ref="H117:H120"/>
    <mergeCell ref="I117:I120"/>
    <mergeCell ref="M117:M120"/>
    <mergeCell ref="A111:A114"/>
    <mergeCell ref="B111:B114"/>
    <mergeCell ref="C111:C114"/>
    <mergeCell ref="D111:D114"/>
    <mergeCell ref="E111:E114"/>
    <mergeCell ref="N117:N120"/>
    <mergeCell ref="G111:G114"/>
    <mergeCell ref="H111:H114"/>
    <mergeCell ref="I111:I114"/>
    <mergeCell ref="M111:M114"/>
    <mergeCell ref="N111:N114"/>
    <mergeCell ref="G124:G127"/>
    <mergeCell ref="H124:H127"/>
    <mergeCell ref="I124:I127"/>
    <mergeCell ref="M124:M127"/>
    <mergeCell ref="N124:N127"/>
    <mergeCell ref="F124:F127"/>
    <mergeCell ref="G131:G133"/>
    <mergeCell ref="H131:H133"/>
    <mergeCell ref="I131:I133"/>
    <mergeCell ref="M131:M133"/>
    <mergeCell ref="N131:N133"/>
    <mergeCell ref="A134:A135"/>
    <mergeCell ref="B134:B135"/>
    <mergeCell ref="C134:C135"/>
    <mergeCell ref="D134:D135"/>
    <mergeCell ref="E134:E135"/>
    <mergeCell ref="N134:N135"/>
    <mergeCell ref="A131:A133"/>
    <mergeCell ref="B131:B133"/>
    <mergeCell ref="C131:C133"/>
    <mergeCell ref="D131:D133"/>
    <mergeCell ref="E131:E133"/>
    <mergeCell ref="A124:A127"/>
    <mergeCell ref="B124:B127"/>
    <mergeCell ref="C124:C127"/>
    <mergeCell ref="D124:D127"/>
    <mergeCell ref="E124:E127"/>
    <mergeCell ref="O134:O135"/>
    <mergeCell ref="A136:A139"/>
    <mergeCell ref="B136:B139"/>
    <mergeCell ref="C136:C139"/>
    <mergeCell ref="D136:D139"/>
    <mergeCell ref="E136:E139"/>
    <mergeCell ref="F136:F137"/>
    <mergeCell ref="G136:G139"/>
    <mergeCell ref="H136:H139"/>
    <mergeCell ref="F134:F135"/>
    <mergeCell ref="G134:G135"/>
    <mergeCell ref="H134:H135"/>
    <mergeCell ref="I134:I135"/>
    <mergeCell ref="K134:K135"/>
    <mergeCell ref="M134:M135"/>
    <mergeCell ref="I136:I139"/>
    <mergeCell ref="L136:L139"/>
    <mergeCell ref="M136:M139"/>
    <mergeCell ref="N136:N139"/>
    <mergeCell ref="O136:O139"/>
    <mergeCell ref="A142:A144"/>
    <mergeCell ref="B142:B144"/>
    <mergeCell ref="C142:C144"/>
    <mergeCell ref="D142:D144"/>
    <mergeCell ref="E142:E144"/>
    <mergeCell ref="O143:O144"/>
    <mergeCell ref="A145:A147"/>
    <mergeCell ref="B145:B147"/>
    <mergeCell ref="C145:C147"/>
    <mergeCell ref="D145:D147"/>
    <mergeCell ref="E145:E147"/>
    <mergeCell ref="G145:G147"/>
    <mergeCell ref="H145:H147"/>
    <mergeCell ref="I145:I147"/>
    <mergeCell ref="M145:M147"/>
    <mergeCell ref="G142:G144"/>
    <mergeCell ref="H142:H144"/>
    <mergeCell ref="I142:I144"/>
    <mergeCell ref="M142:M144"/>
    <mergeCell ref="N142:N144"/>
    <mergeCell ref="F143:F144"/>
    <mergeCell ref="L143:L144"/>
    <mergeCell ref="N145:N147"/>
    <mergeCell ref="F146:F147"/>
    <mergeCell ref="I152:I155"/>
    <mergeCell ref="M152:M155"/>
    <mergeCell ref="L146:L147"/>
    <mergeCell ref="O146:O147"/>
    <mergeCell ref="A148:A150"/>
    <mergeCell ref="B148:B150"/>
    <mergeCell ref="C148:C150"/>
    <mergeCell ref="D148:D150"/>
    <mergeCell ref="E148:E150"/>
    <mergeCell ref="G148:G150"/>
    <mergeCell ref="O149:O150"/>
    <mergeCell ref="H148:H150"/>
    <mergeCell ref="I148:I150"/>
    <mergeCell ref="M148:M150"/>
    <mergeCell ref="N148:N150"/>
    <mergeCell ref="F149:F150"/>
    <mergeCell ref="L149:L150"/>
    <mergeCell ref="N152:N155"/>
    <mergeCell ref="F153:F155"/>
    <mergeCell ref="L153:L155"/>
    <mergeCell ref="O153:O155"/>
    <mergeCell ref="A152:A155"/>
    <mergeCell ref="B152:B155"/>
    <mergeCell ref="C152:C155"/>
    <mergeCell ref="A160:A162"/>
    <mergeCell ref="B160:B162"/>
    <mergeCell ref="C160:C162"/>
    <mergeCell ref="D160:D162"/>
    <mergeCell ref="E160:E162"/>
    <mergeCell ref="F160:F162"/>
    <mergeCell ref="O160:O162"/>
    <mergeCell ref="G160:G162"/>
    <mergeCell ref="H160:H162"/>
    <mergeCell ref="I160:I162"/>
    <mergeCell ref="L160:L162"/>
    <mergeCell ref="M160:M162"/>
    <mergeCell ref="N160:N162"/>
    <mergeCell ref="D152:D155"/>
    <mergeCell ref="E152:E155"/>
    <mergeCell ref="G152:G155"/>
    <mergeCell ref="H152:H155"/>
    <mergeCell ref="N163:N164"/>
    <mergeCell ref="A165:A170"/>
    <mergeCell ref="B165:B170"/>
    <mergeCell ref="C165:C170"/>
    <mergeCell ref="D165:D170"/>
    <mergeCell ref="E165:E170"/>
    <mergeCell ref="F165:F170"/>
    <mergeCell ref="G165:G170"/>
    <mergeCell ref="H165:H170"/>
    <mergeCell ref="I165:I170"/>
    <mergeCell ref="M165:M170"/>
    <mergeCell ref="N165:N170"/>
    <mergeCell ref="A163:A164"/>
    <mergeCell ref="B163:B164"/>
    <mergeCell ref="C163:C164"/>
    <mergeCell ref="D163:D164"/>
    <mergeCell ref="E163:E164"/>
    <mergeCell ref="G163:G164"/>
    <mergeCell ref="H163:H164"/>
    <mergeCell ref="I163:I164"/>
    <mergeCell ref="M163:M164"/>
    <mergeCell ref="O165:O170"/>
    <mergeCell ref="A171:A173"/>
    <mergeCell ref="B171:B173"/>
    <mergeCell ref="C171:C173"/>
    <mergeCell ref="D171:D173"/>
    <mergeCell ref="E171:E173"/>
    <mergeCell ref="G171:G173"/>
    <mergeCell ref="H171:H173"/>
    <mergeCell ref="I171:I173"/>
    <mergeCell ref="M171:M173"/>
    <mergeCell ref="N171:N173"/>
    <mergeCell ref="F172:F173"/>
    <mergeCell ref="A175:A177"/>
    <mergeCell ref="B175:B177"/>
    <mergeCell ref="C175:C177"/>
    <mergeCell ref="D175:D177"/>
    <mergeCell ref="E175:E177"/>
    <mergeCell ref="F175:F177"/>
    <mergeCell ref="O175:O177"/>
    <mergeCell ref="A179:A181"/>
    <mergeCell ref="B179:B181"/>
    <mergeCell ref="C179:C181"/>
    <mergeCell ref="D179:D181"/>
    <mergeCell ref="E179:E181"/>
    <mergeCell ref="F179:F181"/>
    <mergeCell ref="G179:G181"/>
    <mergeCell ref="H179:H181"/>
    <mergeCell ref="I179:I181"/>
    <mergeCell ref="G175:G177"/>
    <mergeCell ref="H175:H177"/>
    <mergeCell ref="I175:I177"/>
    <mergeCell ref="L175:L177"/>
    <mergeCell ref="M175:M177"/>
    <mergeCell ref="N175:N177"/>
    <mergeCell ref="O182:O184"/>
    <mergeCell ref="L179:L181"/>
    <mergeCell ref="M179:M181"/>
    <mergeCell ref="N179:N181"/>
    <mergeCell ref="O179:O181"/>
    <mergeCell ref="A182:A184"/>
    <mergeCell ref="B182:B184"/>
    <mergeCell ref="C182:C184"/>
    <mergeCell ref="D182:D184"/>
    <mergeCell ref="E182:E184"/>
    <mergeCell ref="F182:F184"/>
    <mergeCell ref="C191:C193"/>
    <mergeCell ref="D191:D193"/>
    <mergeCell ref="E191:E193"/>
    <mergeCell ref="F191:F193"/>
    <mergeCell ref="G182:G184"/>
    <mergeCell ref="H182:H184"/>
    <mergeCell ref="I182:I184"/>
    <mergeCell ref="M182:M184"/>
    <mergeCell ref="N182:N184"/>
    <mergeCell ref="A205:A206"/>
    <mergeCell ref="B205:B206"/>
    <mergeCell ref="C205:C206"/>
    <mergeCell ref="D205:D206"/>
    <mergeCell ref="E205:E206"/>
    <mergeCell ref="F205:F206"/>
    <mergeCell ref="O191:O193"/>
    <mergeCell ref="A197:A200"/>
    <mergeCell ref="B197:B200"/>
    <mergeCell ref="C197:C200"/>
    <mergeCell ref="D197:D200"/>
    <mergeCell ref="E197:E200"/>
    <mergeCell ref="F197:F200"/>
    <mergeCell ref="G197:G200"/>
    <mergeCell ref="H197:H200"/>
    <mergeCell ref="I197:I200"/>
    <mergeCell ref="G191:G193"/>
    <mergeCell ref="H191:H193"/>
    <mergeCell ref="I191:I193"/>
    <mergeCell ref="L191:L193"/>
    <mergeCell ref="M191:M193"/>
    <mergeCell ref="N191:N193"/>
    <mergeCell ref="A191:A193"/>
    <mergeCell ref="B191:B193"/>
    <mergeCell ref="E235:E262"/>
    <mergeCell ref="G205:G206"/>
    <mergeCell ref="H205:H206"/>
    <mergeCell ref="I205:I206"/>
    <mergeCell ref="M205:M206"/>
    <mergeCell ref="N205:N206"/>
    <mergeCell ref="O205:O206"/>
    <mergeCell ref="L197:L201"/>
    <mergeCell ref="M197:M201"/>
    <mergeCell ref="N197:N201"/>
    <mergeCell ref="O197:O201"/>
  </mergeCells>
  <conditionalFormatting sqref="E1:G9 E10:E12 G10:G12 E13:G15 E16:E20 G16:G20 E21:G22 E23:E25 G23:G25 E26:G27 E28 G28 E29:G29 E32:G33 E34:E36 G34:G36 E37:G43 E44:E45 G44:G45 E46:G58 E60:G76 E77:E86 G77:G86 E87:G91 E92:E95 G92:G95 E96:G117 E118:E120 G118:G120 E121:G124 E125:E127 G125:G127 E128:G134 E135 G135 E136:G136 E137 G137 E138:G143 E144 G144 E145:G146 E147 G147 E148:G149 E150 G150 E151:G153 E154:E155 G154:G155 E156:G160 E161:E162 G161:G162 E163:G165 E166:E170 G166:G170 E171:G172 E173 G173 E174:G175 E176:E177 G176:G177 E178:G179 E180:E181 G180:G181 E182:G182 E183:E184 G183:G184 E185:G191 E192:E193 G192:G193 E194:G197 E201:G205 E207:G234 F235:G262 E263:G1048576">
    <cfRule type="beginsWith" dxfId="53" priority="1" stopIfTrue="1" operator="beginsWith" text="AC">
      <formula>LEFT(E1,LEN("AC"))="AC"</formula>
    </cfRule>
    <cfRule type="beginsWith" dxfId="52" priority="2" stopIfTrue="1" operator="beginsWith" text="IN">
      <formula>LEFT(E1,LEN("IN"))="IN"</formula>
    </cfRule>
  </conditionalFormatting>
  <hyperlinks>
    <hyperlink ref="M15" r:id="rId1" xr:uid="{D08FF85A-A992-4361-969C-7E1257CB9CBC}"/>
    <hyperlink ref="J22" r:id="rId2" xr:uid="{D350C5F7-BEE5-4816-B431-1938EA23E1B3}"/>
    <hyperlink ref="J23" r:id="rId3" xr:uid="{1255811D-228A-46BE-BA40-32175C405792}"/>
    <hyperlink ref="J24" r:id="rId4" xr:uid="{571C7878-EDA5-4436-8548-303907153FFF}"/>
    <hyperlink ref="J25" r:id="rId5" xr:uid="{ED5C6074-6C4F-4FA8-80C0-2F21DB6D3FDB}"/>
    <hyperlink ref="M26" r:id="rId6" xr:uid="{67085D69-2C73-4D2B-B341-F8079CB4A9BB}"/>
    <hyperlink ref="J49" r:id="rId7" xr:uid="{AE22DB1B-E1B7-4E55-88E2-DD28978E5DC6}"/>
    <hyperlink ref="J50" r:id="rId8" xr:uid="{E152D62F-A82C-4357-890C-2547EE59F7DF}"/>
    <hyperlink ref="J52" r:id="rId9" xr:uid="{A28BAF32-F8E3-4276-B77F-FCF79FE2C38E}"/>
    <hyperlink ref="J53" r:id="rId10" xr:uid="{AF78F7C2-EEED-4175-8DE1-F08E85E86253}"/>
    <hyperlink ref="J54" r:id="rId11" xr:uid="{0F904F06-C880-4056-B16F-DFA3210F3132}"/>
    <hyperlink ref="M49" r:id="rId12" xr:uid="{4E27A1EE-E982-45DE-9CE7-3D73592E9593}"/>
    <hyperlink ref="M43" r:id="rId13" xr:uid="{F5ABE3C1-79E9-4186-9882-2F2A7DEA0464}"/>
    <hyperlink ref="M47" r:id="rId14" xr:uid="{0344BE16-2B39-4FAF-A2EA-3EDB90D90056}"/>
    <hyperlink ref="M63" r:id="rId15" xr:uid="{098B2AC5-84D8-4207-82F3-EDE903390ECD}"/>
    <hyperlink ref="M55" r:id="rId16" xr:uid="{B17ED690-82C8-4A01-8BA5-66F691AFA636}"/>
    <hyperlink ref="M70" r:id="rId17" xr:uid="{C1651027-262F-41AE-AB2D-1A641C7FBEEC}"/>
    <hyperlink ref="M61" r:id="rId18" xr:uid="{5D1765C8-35B7-4183-938B-4C2ADB1A0002}"/>
    <hyperlink ref="M9" r:id="rId19" xr:uid="{30D77CDF-AE83-45AA-925C-DD6B0FD11217}"/>
    <hyperlink ref="M131" r:id="rId20" xr:uid="{CE0DC093-91B0-49A2-855D-4CDF9FC04ED6}"/>
    <hyperlink ref="M111" r:id="rId21" xr:uid="{9FD8FD9D-D09C-4B64-BABC-D5DAE796718C}"/>
    <hyperlink ref="M97" r:id="rId22" xr:uid="{FDC46B9D-7F34-47AA-B140-9A50D518E8D4}"/>
    <hyperlink ref="M101" r:id="rId23" xr:uid="{9C51C34D-37A4-4444-8A6F-DF8C899AB3A2}"/>
    <hyperlink ref="M142" r:id="rId24" xr:uid="{BD1E8B51-CF0C-434A-B8D8-1147F8ABF23E}"/>
    <hyperlink ref="M152" r:id="rId25" xr:uid="{104B07ED-D57F-40F7-BAE1-D340B763ACF9}"/>
    <hyperlink ref="M76" r:id="rId26" xr:uid="{0EC476A0-39B9-4A7F-854D-6EED01CBBB84}"/>
    <hyperlink ref="M21" r:id="rId27" xr:uid="{228C3C55-04DF-42CF-AE08-9D89A9CC40F6}"/>
    <hyperlink ref="M60" r:id="rId28" xr:uid="{4049DBE0-7A19-4AE8-9A99-753F306C6154}"/>
    <hyperlink ref="M69" r:id="rId29" xr:uid="{42750064-10FC-466C-966B-12D0B55E288E}"/>
    <hyperlink ref="M67" r:id="rId30" xr:uid="{43C398E6-0D90-40FB-8E74-9C906E89AFE1}"/>
    <hyperlink ref="M124" r:id="rId31" xr:uid="{1F70D0F0-BCE6-4398-A41B-8785E9CF78FC}"/>
    <hyperlink ref="M134" r:id="rId32" xr:uid="{34ABD51F-E7A3-4225-865F-C1C1E6CDBC94}"/>
    <hyperlink ref="M33" r:id="rId33" xr:uid="{E7AFD625-AB33-4502-AABE-B8D6BCBB3E3B}"/>
    <hyperlink ref="M160" r:id="rId34" xr:uid="{BAA531B8-60FA-436F-ABA4-F4B9B4C6086F}"/>
    <hyperlink ref="M188" r:id="rId35" xr:uid="{8AA55B5F-5E34-4D7E-87FC-3F3147A95BC6}"/>
    <hyperlink ref="M190" r:id="rId36" xr:uid="{D397F445-C65F-4B85-A56D-CBFEB9B786CB}"/>
    <hyperlink ref="M191" r:id="rId37" xr:uid="{08F72677-B0A8-4E83-8169-7477E31B78AB}"/>
    <hyperlink ref="M196" r:id="rId38" xr:uid="{3884A237-9C3C-407F-98E2-0199F56664AD}"/>
    <hyperlink ref="M187" r:id="rId39" xr:uid="{96D00A5A-39B6-4CF9-8773-E7D1CD88E9FA}"/>
    <hyperlink ref="M182" r:id="rId40" xr:uid="{C51FAAEE-9CC2-4751-8274-830172746C62}"/>
    <hyperlink ref="M58" r:id="rId41" xr:uid="{FA25828C-B104-4482-9073-0CFEE07F9CAB}"/>
    <hyperlink ref="M59" r:id="rId42" xr:uid="{CD94F499-E367-4650-AF90-B3EA500169A6}"/>
    <hyperlink ref="M179" r:id="rId43" xr:uid="{883E7B71-680F-4D84-9C12-16F0234DE8F0}"/>
    <hyperlink ref="M157" r:id="rId44" xr:uid="{7C837891-5657-474A-8382-CBD585DFEA95}"/>
    <hyperlink ref="M203" r:id="rId45" xr:uid="{08229D93-4C48-4830-A603-77C61D8FFD20}"/>
    <hyperlink ref="M175" r:id="rId46" xr:uid="{6083397F-C260-4D12-9A3B-C19A33AFE978}"/>
  </hyperlinks>
  <pageMargins left="0.25" right="0.25" top="0.75" bottom="0.75" header="0.3" footer="0.3"/>
  <pageSetup scale="23" fitToHeight="0" orientation="portrait" horizontalDpi="4294967293" r:id="rId47"/>
  <rowBreaks count="1" manualBreakCount="1">
    <brk id="128" max="15" man="1"/>
  </rowBreaks>
  <drawing r:id="rId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F503-08A1-427E-9C46-583522B1DD9F}">
  <sheetPr>
    <pageSetUpPr fitToPage="1"/>
  </sheetPr>
  <dimension ref="A1:M83"/>
  <sheetViews>
    <sheetView zoomScale="130" zoomScaleNormal="130" zoomScaleSheetLayoutView="85" zoomScalePageLayoutView="70" workbookViewId="0">
      <pane ySplit="5" topLeftCell="A25" activePane="bottomLeft" state="frozen"/>
      <selection pane="bottomLeft" activeCell="H35" sqref="H35"/>
    </sheetView>
  </sheetViews>
  <sheetFormatPr baseColWidth="10" defaultRowHeight="14.4"/>
  <cols>
    <col min="1" max="1" width="33.44140625" style="10" customWidth="1"/>
    <col min="2" max="2" width="54.6640625" style="5" customWidth="1"/>
    <col min="3" max="4" width="12.44140625" style="19" customWidth="1"/>
    <col min="5" max="5" width="12.44140625" style="255" customWidth="1"/>
    <col min="6" max="6" width="13.33203125" style="19" customWidth="1"/>
    <col min="7" max="8" width="25.44140625" customWidth="1"/>
    <col min="9" max="9" width="52.44140625" customWidth="1"/>
    <col min="10" max="10" width="23.33203125" customWidth="1"/>
    <col min="11" max="11" width="23.33203125" style="228" customWidth="1"/>
    <col min="12" max="12" width="34.109375" style="5" customWidth="1"/>
    <col min="13" max="13" width="52.44140625" customWidth="1"/>
  </cols>
  <sheetData>
    <row r="1" spans="1:13" ht="15.9" customHeight="1">
      <c r="A1" s="436" t="e" vm="2">
        <v>#VALUE!</v>
      </c>
      <c r="B1" s="441" t="s">
        <v>248</v>
      </c>
      <c r="C1" s="52" t="s">
        <v>244</v>
      </c>
      <c r="D1" s="62" t="s">
        <v>260</v>
      </c>
      <c r="E1" s="77"/>
      <c r="F1" s="77" t="s">
        <v>596</v>
      </c>
      <c r="G1" s="77"/>
      <c r="H1" s="77" t="s">
        <v>617</v>
      </c>
      <c r="I1" s="443" t="s">
        <v>618</v>
      </c>
      <c r="J1" s="443"/>
      <c r="K1" s="213"/>
    </row>
    <row r="2" spans="1:13" ht="15.6">
      <c r="A2" s="438"/>
      <c r="B2" s="442"/>
      <c r="C2" s="52" t="s">
        <v>245</v>
      </c>
      <c r="D2" s="62" t="s">
        <v>611</v>
      </c>
      <c r="E2" s="77" t="s">
        <v>616</v>
      </c>
      <c r="F2" s="259" t="s">
        <v>597</v>
      </c>
      <c r="G2" s="77"/>
      <c r="H2" s="77"/>
      <c r="I2" s="443"/>
      <c r="J2" s="443"/>
      <c r="K2" s="213"/>
    </row>
    <row r="3" spans="1:13" ht="15.6">
      <c r="A3" s="438"/>
      <c r="B3" s="442"/>
      <c r="C3" s="52" t="s">
        <v>246</v>
      </c>
      <c r="D3" s="272" t="s">
        <v>609</v>
      </c>
      <c r="E3" s="78"/>
      <c r="F3" s="260" t="s">
        <v>598</v>
      </c>
      <c r="G3" s="78"/>
      <c r="H3" s="78"/>
      <c r="I3" s="78"/>
      <c r="J3" s="78"/>
      <c r="K3" s="213"/>
    </row>
    <row r="4" spans="1:13" ht="15.75" customHeight="1">
      <c r="A4" s="440"/>
      <c r="B4" s="270" t="s">
        <v>608</v>
      </c>
      <c r="C4" s="61" t="s">
        <v>247</v>
      </c>
      <c r="D4" s="62" t="s">
        <v>610</v>
      </c>
      <c r="E4" s="77"/>
      <c r="F4" s="261" t="s">
        <v>599</v>
      </c>
      <c r="G4" s="77"/>
      <c r="H4" s="77"/>
      <c r="I4" s="77"/>
      <c r="J4" s="77"/>
      <c r="K4" s="213"/>
    </row>
    <row r="5" spans="1:13" ht="42.75" customHeight="1" thickBot="1">
      <c r="A5" s="79" t="s">
        <v>3</v>
      </c>
      <c r="B5" s="12" t="s">
        <v>238</v>
      </c>
      <c r="C5" s="79" t="s">
        <v>363</v>
      </c>
      <c r="D5" s="195" t="s">
        <v>4</v>
      </c>
      <c r="E5" s="254" t="s">
        <v>553</v>
      </c>
      <c r="F5" s="195" t="s">
        <v>526</v>
      </c>
      <c r="G5" s="81" t="s">
        <v>276</v>
      </c>
      <c r="H5" s="81" t="s">
        <v>280</v>
      </c>
      <c r="I5" s="81" t="s">
        <v>392</v>
      </c>
      <c r="J5" s="81" t="s">
        <v>292</v>
      </c>
      <c r="K5" s="214" t="s">
        <v>537</v>
      </c>
      <c r="L5" s="81" t="s">
        <v>282</v>
      </c>
      <c r="M5" s="82" t="s">
        <v>277</v>
      </c>
    </row>
    <row r="6" spans="1:13" ht="29.4" thickBot="1">
      <c r="A6" s="109" t="s">
        <v>70</v>
      </c>
      <c r="B6" s="140" t="s">
        <v>12</v>
      </c>
      <c r="C6" s="20" t="s">
        <v>131</v>
      </c>
      <c r="D6" s="20" t="s">
        <v>242</v>
      </c>
      <c r="E6" s="284" t="s">
        <v>554</v>
      </c>
      <c r="F6" s="20" t="s">
        <v>194</v>
      </c>
      <c r="G6" s="141" t="s">
        <v>409</v>
      </c>
      <c r="H6" s="141" t="s">
        <v>408</v>
      </c>
      <c r="I6" s="141" t="s">
        <v>410</v>
      </c>
      <c r="J6" s="141">
        <v>553</v>
      </c>
      <c r="K6" s="141"/>
      <c r="L6" s="142" t="s">
        <v>406</v>
      </c>
      <c r="M6" s="143" t="s">
        <v>411</v>
      </c>
    </row>
    <row r="7" spans="1:13" ht="43.8" thickBot="1">
      <c r="A7" s="89" t="s">
        <v>89</v>
      </c>
      <c r="B7" s="91" t="s">
        <v>31</v>
      </c>
      <c r="C7" s="89" t="s">
        <v>131</v>
      </c>
      <c r="D7" s="89" t="s">
        <v>242</v>
      </c>
      <c r="E7" s="257" t="s">
        <v>554</v>
      </c>
      <c r="F7" s="89" t="s">
        <v>517</v>
      </c>
      <c r="G7" s="132" t="s">
        <v>415</v>
      </c>
      <c r="H7" s="132">
        <v>5528227733</v>
      </c>
      <c r="I7" s="132" t="s">
        <v>412</v>
      </c>
      <c r="J7" s="132" t="s">
        <v>176</v>
      </c>
      <c r="K7" s="132"/>
      <c r="L7" s="133" t="s">
        <v>413</v>
      </c>
      <c r="M7" s="83" t="s">
        <v>414</v>
      </c>
    </row>
    <row r="8" spans="1:13">
      <c r="A8" s="314" t="s">
        <v>92</v>
      </c>
      <c r="B8" s="371" t="s">
        <v>34</v>
      </c>
      <c r="C8" s="314" t="s">
        <v>131</v>
      </c>
      <c r="D8" s="314" t="s">
        <v>242</v>
      </c>
      <c r="E8" s="278"/>
      <c r="F8" s="314" t="s">
        <v>517</v>
      </c>
      <c r="G8" s="303" t="s">
        <v>420</v>
      </c>
      <c r="H8" s="303">
        <v>5527276464</v>
      </c>
      <c r="I8" s="104" t="s">
        <v>422</v>
      </c>
      <c r="J8" s="153">
        <v>553</v>
      </c>
      <c r="K8" s="153"/>
      <c r="L8" s="346" t="s">
        <v>417</v>
      </c>
      <c r="M8" s="458" t="s">
        <v>421</v>
      </c>
    </row>
    <row r="9" spans="1:13" ht="15" thickBot="1">
      <c r="A9" s="315"/>
      <c r="B9" s="372"/>
      <c r="C9" s="315"/>
      <c r="D9" s="315"/>
      <c r="E9" s="283" t="s">
        <v>554</v>
      </c>
      <c r="F9" s="315"/>
      <c r="G9" s="304"/>
      <c r="H9" s="304"/>
      <c r="I9" s="165" t="s">
        <v>423</v>
      </c>
      <c r="J9" s="165" t="s">
        <v>172</v>
      </c>
      <c r="K9" s="165"/>
      <c r="L9" s="457"/>
      <c r="M9" s="459"/>
    </row>
    <row r="10" spans="1:13" s="170" customFormat="1" ht="30.75" customHeight="1" thickBot="1">
      <c r="A10" s="95" t="s">
        <v>93</v>
      </c>
      <c r="B10" s="96" t="s">
        <v>35</v>
      </c>
      <c r="C10" s="95" t="s">
        <v>131</v>
      </c>
      <c r="D10" s="95" t="s">
        <v>242</v>
      </c>
      <c r="E10" s="283" t="s">
        <v>554</v>
      </c>
      <c r="F10" s="95" t="s">
        <v>517</v>
      </c>
      <c r="G10" s="149" t="s">
        <v>416</v>
      </c>
      <c r="H10" s="149">
        <v>5552170057</v>
      </c>
      <c r="I10" s="172" t="s">
        <v>419</v>
      </c>
      <c r="J10" s="149" t="s">
        <v>176</v>
      </c>
      <c r="K10" s="149"/>
      <c r="L10" s="173" t="s">
        <v>417</v>
      </c>
      <c r="M10" s="174" t="s">
        <v>418</v>
      </c>
    </row>
    <row r="11" spans="1:13">
      <c r="A11" s="314" t="s">
        <v>96</v>
      </c>
      <c r="B11" s="371" t="s">
        <v>38</v>
      </c>
      <c r="C11" s="314" t="s">
        <v>131</v>
      </c>
      <c r="D11" s="314" t="s">
        <v>242</v>
      </c>
      <c r="E11" s="351" t="s">
        <v>554</v>
      </c>
      <c r="F11" s="314" t="s">
        <v>517</v>
      </c>
      <c r="G11" s="303" t="s">
        <v>390</v>
      </c>
      <c r="H11" s="303" t="s">
        <v>391</v>
      </c>
      <c r="I11" s="120" t="s">
        <v>393</v>
      </c>
      <c r="J11" s="124"/>
      <c r="K11" s="225"/>
      <c r="L11" s="346" t="s">
        <v>404</v>
      </c>
      <c r="M11" s="347" t="s">
        <v>405</v>
      </c>
    </row>
    <row r="12" spans="1:13">
      <c r="A12" s="350"/>
      <c r="B12" s="383"/>
      <c r="C12" s="350"/>
      <c r="D12" s="350"/>
      <c r="E12" s="455"/>
      <c r="F12" s="350"/>
      <c r="G12" s="310"/>
      <c r="H12" s="310"/>
      <c r="I12" s="146" t="s">
        <v>394</v>
      </c>
      <c r="J12" s="76"/>
      <c r="K12" s="137"/>
      <c r="L12" s="310"/>
      <c r="M12" s="408"/>
    </row>
    <row r="13" spans="1:13">
      <c r="A13" s="350"/>
      <c r="B13" s="383"/>
      <c r="C13" s="350"/>
      <c r="D13" s="350"/>
      <c r="E13" s="455"/>
      <c r="F13" s="350"/>
      <c r="G13" s="310"/>
      <c r="H13" s="310"/>
      <c r="I13" s="146" t="s">
        <v>395</v>
      </c>
      <c r="J13" s="76"/>
      <c r="K13" s="137"/>
      <c r="L13" s="310"/>
      <c r="M13" s="408"/>
    </row>
    <row r="14" spans="1:13">
      <c r="A14" s="350"/>
      <c r="B14" s="383"/>
      <c r="C14" s="350"/>
      <c r="D14" s="350"/>
      <c r="E14" s="455"/>
      <c r="F14" s="350"/>
      <c r="G14" s="310"/>
      <c r="H14" s="310"/>
      <c r="I14" s="146" t="s">
        <v>396</v>
      </c>
      <c r="J14" s="76"/>
      <c r="K14" s="137"/>
      <c r="L14" s="310"/>
      <c r="M14" s="408"/>
    </row>
    <row r="15" spans="1:13">
      <c r="A15" s="350"/>
      <c r="B15" s="383"/>
      <c r="C15" s="350"/>
      <c r="D15" s="350"/>
      <c r="E15" s="455"/>
      <c r="F15" s="350"/>
      <c r="G15" s="310"/>
      <c r="H15" s="310"/>
      <c r="I15" s="146" t="s">
        <v>397</v>
      </c>
      <c r="J15" s="76"/>
      <c r="K15" s="137"/>
      <c r="L15" s="310"/>
      <c r="M15" s="408"/>
    </row>
    <row r="16" spans="1:13">
      <c r="A16" s="350"/>
      <c r="B16" s="383"/>
      <c r="C16" s="350"/>
      <c r="D16" s="350"/>
      <c r="E16" s="455"/>
      <c r="F16" s="350"/>
      <c r="G16" s="310"/>
      <c r="H16" s="310"/>
      <c r="I16" s="146" t="s">
        <v>398</v>
      </c>
      <c r="J16" s="76"/>
      <c r="K16" s="137"/>
      <c r="L16" s="310"/>
      <c r="M16" s="408"/>
    </row>
    <row r="17" spans="1:13">
      <c r="A17" s="350"/>
      <c r="B17" s="383"/>
      <c r="C17" s="350"/>
      <c r="D17" s="350"/>
      <c r="E17" s="455"/>
      <c r="F17" s="350"/>
      <c r="G17" s="310"/>
      <c r="H17" s="310"/>
      <c r="I17" s="146" t="s">
        <v>399</v>
      </c>
      <c r="J17" s="76"/>
      <c r="K17" s="137"/>
      <c r="L17" s="310"/>
      <c r="M17" s="408"/>
    </row>
    <row r="18" spans="1:13">
      <c r="A18" s="350"/>
      <c r="B18" s="383"/>
      <c r="C18" s="350"/>
      <c r="D18" s="350"/>
      <c r="E18" s="455"/>
      <c r="F18" s="350"/>
      <c r="G18" s="310"/>
      <c r="H18" s="310"/>
      <c r="I18" s="146" t="s">
        <v>400</v>
      </c>
      <c r="J18" s="76"/>
      <c r="K18" s="137"/>
      <c r="L18" s="310"/>
      <c r="M18" s="408"/>
    </row>
    <row r="19" spans="1:13">
      <c r="A19" s="350"/>
      <c r="B19" s="383"/>
      <c r="C19" s="350"/>
      <c r="D19" s="350"/>
      <c r="E19" s="455"/>
      <c r="F19" s="350"/>
      <c r="G19" s="310"/>
      <c r="H19" s="310"/>
      <c r="I19" s="146" t="s">
        <v>401</v>
      </c>
      <c r="J19" s="76"/>
      <c r="K19" s="137"/>
      <c r="L19" s="310"/>
      <c r="M19" s="408"/>
    </row>
    <row r="20" spans="1:13">
      <c r="A20" s="350"/>
      <c r="B20" s="383"/>
      <c r="C20" s="350"/>
      <c r="D20" s="350"/>
      <c r="E20" s="455"/>
      <c r="F20" s="350"/>
      <c r="G20" s="310"/>
      <c r="H20" s="310"/>
      <c r="I20" s="146" t="s">
        <v>402</v>
      </c>
      <c r="J20" s="76"/>
      <c r="K20" s="137"/>
      <c r="L20" s="310"/>
      <c r="M20" s="408"/>
    </row>
    <row r="21" spans="1:13" ht="15" thickBot="1">
      <c r="A21" s="315"/>
      <c r="B21" s="372"/>
      <c r="C21" s="315"/>
      <c r="D21" s="315"/>
      <c r="E21" s="456"/>
      <c r="F21" s="315"/>
      <c r="G21" s="304"/>
      <c r="H21" s="304"/>
      <c r="I21" s="123" t="s">
        <v>403</v>
      </c>
      <c r="J21" s="125"/>
      <c r="K21" s="208"/>
      <c r="L21" s="304"/>
      <c r="M21" s="306"/>
    </row>
    <row r="22" spans="1:13" s="25" customFormat="1" ht="58.2" thickBot="1">
      <c r="A22" s="89" t="s">
        <v>109</v>
      </c>
      <c r="B22" s="91" t="s">
        <v>51</v>
      </c>
      <c r="C22" s="89" t="s">
        <v>131</v>
      </c>
      <c r="D22" s="89" t="s">
        <v>241</v>
      </c>
      <c r="E22" s="257" t="s">
        <v>554</v>
      </c>
      <c r="F22" s="89" t="s">
        <v>517</v>
      </c>
      <c r="G22" s="132" t="s">
        <v>557</v>
      </c>
      <c r="H22" s="132" t="s">
        <v>558</v>
      </c>
      <c r="I22" s="145" t="s">
        <v>555</v>
      </c>
      <c r="J22" s="132"/>
      <c r="K22" s="222"/>
      <c r="L22" s="199"/>
      <c r="M22" s="83" t="s">
        <v>460</v>
      </c>
    </row>
    <row r="23" spans="1:13">
      <c r="A23" s="314" t="s">
        <v>114</v>
      </c>
      <c r="B23" s="371" t="s">
        <v>56</v>
      </c>
      <c r="C23" s="314" t="s">
        <v>131</v>
      </c>
      <c r="D23" s="314" t="s">
        <v>242</v>
      </c>
      <c r="E23" s="351" t="s">
        <v>554</v>
      </c>
      <c r="F23" s="314" t="s">
        <v>517</v>
      </c>
      <c r="G23" s="303" t="s">
        <v>424</v>
      </c>
      <c r="H23" s="409" t="s">
        <v>426</v>
      </c>
      <c r="I23" s="126" t="s">
        <v>427</v>
      </c>
      <c r="J23" s="126" t="s">
        <v>407</v>
      </c>
      <c r="K23" s="148"/>
      <c r="L23" s="346" t="s">
        <v>430</v>
      </c>
      <c r="M23" s="347" t="s">
        <v>425</v>
      </c>
    </row>
    <row r="24" spans="1:13">
      <c r="A24" s="350"/>
      <c r="B24" s="383"/>
      <c r="C24" s="350"/>
      <c r="D24" s="350"/>
      <c r="E24" s="455"/>
      <c r="F24" s="350"/>
      <c r="G24" s="310"/>
      <c r="H24" s="410"/>
      <c r="I24" s="127" t="s">
        <v>428</v>
      </c>
      <c r="J24" s="127" t="s">
        <v>428</v>
      </c>
      <c r="K24" s="132"/>
      <c r="L24" s="310"/>
      <c r="M24" s="348"/>
    </row>
    <row r="25" spans="1:13">
      <c r="A25" s="350"/>
      <c r="B25" s="383"/>
      <c r="C25" s="350"/>
      <c r="D25" s="350"/>
      <c r="E25" s="455"/>
      <c r="F25" s="350"/>
      <c r="G25" s="310"/>
      <c r="H25" s="410"/>
      <c r="I25" s="127" t="s">
        <v>423</v>
      </c>
      <c r="J25" s="127" t="s">
        <v>319</v>
      </c>
      <c r="K25" s="132"/>
      <c r="L25" s="310"/>
      <c r="M25" s="348"/>
    </row>
    <row r="26" spans="1:13" ht="15" thickBot="1">
      <c r="A26" s="315"/>
      <c r="B26" s="372"/>
      <c r="C26" s="315"/>
      <c r="D26" s="315"/>
      <c r="E26" s="456"/>
      <c r="F26" s="315"/>
      <c r="G26" s="304"/>
      <c r="H26" s="411"/>
      <c r="I26" s="128" t="s">
        <v>429</v>
      </c>
      <c r="J26" s="128" t="s">
        <v>429</v>
      </c>
      <c r="K26" s="149"/>
      <c r="L26" s="304"/>
      <c r="M26" s="366"/>
    </row>
    <row r="27" spans="1:13" ht="21.75" customHeight="1" thickBot="1">
      <c r="A27" s="314" t="s">
        <v>119</v>
      </c>
      <c r="B27" s="371" t="s">
        <v>60</v>
      </c>
      <c r="C27" s="314" t="s">
        <v>131</v>
      </c>
      <c r="D27" s="314" t="s">
        <v>242</v>
      </c>
      <c r="E27" s="351" t="s">
        <v>554</v>
      </c>
      <c r="F27" s="314" t="s">
        <v>517</v>
      </c>
      <c r="G27" s="303" t="s">
        <v>436</v>
      </c>
      <c r="H27" s="303" t="s">
        <v>431</v>
      </c>
      <c r="I27" s="148" t="s">
        <v>432</v>
      </c>
      <c r="J27" s="390" t="s">
        <v>433</v>
      </c>
      <c r="K27" s="198"/>
      <c r="L27" s="346" t="s">
        <v>434</v>
      </c>
      <c r="M27" s="347" t="s">
        <v>435</v>
      </c>
    </row>
    <row r="28" spans="1:13" ht="25.5" customHeight="1" thickBot="1">
      <c r="A28" s="397"/>
      <c r="B28" s="406"/>
      <c r="C28" s="397"/>
      <c r="D28" s="397"/>
      <c r="E28" s="397"/>
      <c r="F28" s="397"/>
      <c r="G28" s="398"/>
      <c r="H28" s="398"/>
      <c r="I28" s="141" t="s">
        <v>429</v>
      </c>
      <c r="J28" s="391" t="s">
        <v>429</v>
      </c>
      <c r="K28" s="252" t="s">
        <v>590</v>
      </c>
      <c r="L28" s="398"/>
      <c r="M28" s="407"/>
    </row>
    <row r="29" spans="1:13">
      <c r="A29" s="314" t="s">
        <v>200</v>
      </c>
      <c r="B29" s="303" t="s">
        <v>207</v>
      </c>
      <c r="C29" s="301" t="s">
        <v>131</v>
      </c>
      <c r="D29" s="301" t="s">
        <v>241</v>
      </c>
      <c r="E29" s="351" t="s">
        <v>554</v>
      </c>
      <c r="F29" s="301" t="s">
        <v>517</v>
      </c>
      <c r="G29" s="303" t="s">
        <v>471</v>
      </c>
      <c r="H29" s="303" t="s">
        <v>472</v>
      </c>
      <c r="I29" s="166" t="s">
        <v>473</v>
      </c>
      <c r="J29" s="166"/>
      <c r="K29" s="307" t="s">
        <v>590</v>
      </c>
      <c r="L29" s="346" t="s">
        <v>477</v>
      </c>
      <c r="M29" s="347" t="s">
        <v>476</v>
      </c>
    </row>
    <row r="30" spans="1:13">
      <c r="A30" s="350"/>
      <c r="B30" s="310"/>
      <c r="C30" s="332"/>
      <c r="D30" s="332"/>
      <c r="E30" s="332"/>
      <c r="F30" s="332"/>
      <c r="G30" s="310"/>
      <c r="H30" s="310"/>
      <c r="I30" s="144" t="s">
        <v>474</v>
      </c>
      <c r="J30" s="144"/>
      <c r="K30" s="308"/>
      <c r="L30" s="310"/>
      <c r="M30" s="348"/>
    </row>
    <row r="31" spans="1:13" ht="15" thickBot="1">
      <c r="A31" s="315"/>
      <c r="B31" s="304"/>
      <c r="C31" s="302"/>
      <c r="D31" s="302"/>
      <c r="E31" s="302"/>
      <c r="F31" s="302"/>
      <c r="G31" s="304"/>
      <c r="H31" s="304"/>
      <c r="I31" s="168" t="s">
        <v>475</v>
      </c>
      <c r="J31" s="168"/>
      <c r="K31" s="309"/>
      <c r="L31" s="304"/>
      <c r="M31" s="366"/>
    </row>
    <row r="32" spans="1:13">
      <c r="A32" s="322" t="s">
        <v>212</v>
      </c>
      <c r="B32" s="325" t="s">
        <v>592</v>
      </c>
      <c r="C32" s="328" t="s">
        <v>131</v>
      </c>
      <c r="D32" s="328" t="s">
        <v>241</v>
      </c>
      <c r="E32" s="351" t="s">
        <v>554</v>
      </c>
      <c r="F32" s="328" t="s">
        <v>517</v>
      </c>
      <c r="G32" s="325" t="s">
        <v>424</v>
      </c>
      <c r="H32" s="325" t="s">
        <v>482</v>
      </c>
      <c r="I32" s="153" t="s">
        <v>483</v>
      </c>
      <c r="J32" s="153">
        <v>553</v>
      </c>
      <c r="K32" s="307" t="s">
        <v>590</v>
      </c>
      <c r="L32" s="341" t="s">
        <v>430</v>
      </c>
      <c r="M32" s="342" t="s">
        <v>593</v>
      </c>
    </row>
    <row r="33" spans="1:13">
      <c r="A33" s="323"/>
      <c r="B33" s="326"/>
      <c r="C33" s="329"/>
      <c r="D33" s="329"/>
      <c r="E33" s="332"/>
      <c r="F33" s="329"/>
      <c r="G33" s="326"/>
      <c r="H33" s="326"/>
      <c r="I33" s="152" t="s">
        <v>412</v>
      </c>
      <c r="J33" s="152" t="s">
        <v>176</v>
      </c>
      <c r="K33" s="308"/>
      <c r="L33" s="326"/>
      <c r="M33" s="337"/>
    </row>
    <row r="34" spans="1:13">
      <c r="A34" s="361"/>
      <c r="B34" s="362"/>
      <c r="C34" s="359"/>
      <c r="D34" s="359"/>
      <c r="E34" s="332"/>
      <c r="F34" s="359"/>
      <c r="G34" s="362"/>
      <c r="H34" s="362"/>
      <c r="I34" s="116" t="s">
        <v>423</v>
      </c>
      <c r="J34" s="116" t="s">
        <v>172</v>
      </c>
      <c r="K34" s="308"/>
      <c r="L34" s="362"/>
      <c r="M34" s="454"/>
    </row>
    <row r="35" spans="1:13">
      <c r="A35" s="20" t="s">
        <v>623</v>
      </c>
      <c r="B35" s="6" t="s">
        <v>259</v>
      </c>
      <c r="C35" s="18"/>
      <c r="D35" s="18"/>
      <c r="E35" s="18"/>
      <c r="F35" s="18"/>
      <c r="G35" s="7"/>
      <c r="H35" s="7"/>
      <c r="I35" s="7"/>
      <c r="J35" s="7"/>
      <c r="K35" s="282"/>
      <c r="L35" s="6"/>
      <c r="M35" s="7"/>
    </row>
    <row r="36" spans="1:13">
      <c r="A36" s="20" t="s">
        <v>624</v>
      </c>
      <c r="B36" s="6" t="s">
        <v>259</v>
      </c>
      <c r="C36" s="18"/>
      <c r="D36" s="18"/>
      <c r="E36" s="18"/>
      <c r="F36" s="18"/>
      <c r="G36" s="7"/>
      <c r="H36" s="7"/>
      <c r="I36" s="7"/>
      <c r="J36" s="7"/>
      <c r="K36" s="282"/>
      <c r="L36" s="6"/>
      <c r="M36" s="7"/>
    </row>
    <row r="37" spans="1:13">
      <c r="A37" s="20" t="s">
        <v>625</v>
      </c>
      <c r="B37" s="6" t="s">
        <v>259</v>
      </c>
      <c r="C37" s="18"/>
      <c r="D37" s="18"/>
      <c r="E37" s="18"/>
      <c r="F37" s="18"/>
      <c r="G37" s="7"/>
      <c r="H37" s="7"/>
      <c r="I37" s="7"/>
      <c r="J37" s="7"/>
      <c r="K37" s="282"/>
      <c r="L37" s="6"/>
      <c r="M37" s="7"/>
    </row>
    <row r="56" spans="1:13" s="255" customFormat="1" ht="15.6">
      <c r="A56" s="10"/>
      <c r="B56" s="5"/>
      <c r="C56" s="256"/>
      <c r="D56" s="300"/>
      <c r="F56" s="19"/>
      <c r="G56"/>
      <c r="H56"/>
      <c r="I56"/>
      <c r="J56"/>
      <c r="K56" s="228"/>
      <c r="L56" s="5"/>
      <c r="M56"/>
    </row>
    <row r="57" spans="1:13" s="255" customFormat="1" ht="15.6">
      <c r="A57" s="10"/>
      <c r="B57" s="5"/>
      <c r="C57" s="256"/>
      <c r="D57" s="300"/>
      <c r="F57" s="19"/>
      <c r="G57"/>
      <c r="H57"/>
      <c r="I57"/>
      <c r="J57"/>
      <c r="K57" s="228"/>
      <c r="L57" s="5"/>
      <c r="M57"/>
    </row>
    <row r="58" spans="1:13" s="255" customFormat="1" ht="15.6">
      <c r="A58" s="10"/>
      <c r="B58" s="5"/>
      <c r="C58" s="256"/>
      <c r="D58" s="300"/>
      <c r="F58" s="19"/>
      <c r="G58"/>
      <c r="H58"/>
      <c r="I58"/>
      <c r="J58"/>
      <c r="K58" s="228"/>
      <c r="L58" s="5"/>
      <c r="M58"/>
    </row>
    <row r="59" spans="1:13" s="255" customFormat="1" ht="15.6">
      <c r="A59" s="10"/>
      <c r="B59" s="5"/>
      <c r="C59" s="256"/>
      <c r="D59" s="300"/>
      <c r="F59" s="19"/>
      <c r="G59"/>
      <c r="H59"/>
      <c r="I59"/>
      <c r="J59"/>
      <c r="K59" s="228"/>
      <c r="L59" s="5"/>
      <c r="M59"/>
    </row>
    <row r="60" spans="1:13" s="255" customFormat="1" ht="15.6">
      <c r="A60" s="10"/>
      <c r="B60" s="5"/>
      <c r="C60" s="256"/>
      <c r="D60" s="300"/>
      <c r="F60" s="19"/>
      <c r="G60"/>
      <c r="H60"/>
      <c r="I60"/>
      <c r="J60"/>
      <c r="K60" s="228"/>
      <c r="L60" s="5"/>
      <c r="M60"/>
    </row>
    <row r="61" spans="1:13" s="255" customFormat="1" ht="15.6">
      <c r="A61" s="10"/>
      <c r="B61" s="5"/>
      <c r="C61" s="256"/>
      <c r="D61" s="300"/>
      <c r="F61" s="19"/>
      <c r="G61"/>
      <c r="H61"/>
      <c r="I61"/>
      <c r="J61"/>
      <c r="K61" s="228"/>
      <c r="L61" s="5"/>
      <c r="M61"/>
    </row>
    <row r="62" spans="1:13" s="255" customFormat="1" ht="15.6">
      <c r="A62" s="10"/>
      <c r="B62" s="5"/>
      <c r="C62" s="256"/>
      <c r="D62" s="300"/>
      <c r="F62" s="19"/>
      <c r="G62"/>
      <c r="H62"/>
      <c r="I62"/>
      <c r="J62"/>
      <c r="K62" s="228"/>
      <c r="L62" s="5"/>
      <c r="M62"/>
    </row>
    <row r="63" spans="1:13" s="255" customFormat="1" ht="15.6">
      <c r="A63" s="10"/>
      <c r="B63" s="5"/>
      <c r="C63" s="256"/>
      <c r="D63" s="300"/>
      <c r="F63" s="19"/>
      <c r="G63"/>
      <c r="H63"/>
      <c r="I63"/>
      <c r="J63"/>
      <c r="K63" s="228"/>
      <c r="L63" s="5"/>
      <c r="M63"/>
    </row>
    <row r="64" spans="1:13" s="255" customFormat="1" ht="15.6">
      <c r="A64" s="10"/>
      <c r="B64" s="5"/>
      <c r="C64" s="256"/>
      <c r="D64" s="300"/>
      <c r="F64" s="19"/>
      <c r="G64"/>
      <c r="H64"/>
      <c r="I64"/>
      <c r="J64"/>
      <c r="K64" s="228"/>
      <c r="L64" s="5"/>
      <c r="M64"/>
    </row>
    <row r="65" spans="1:13" s="255" customFormat="1" ht="15.6">
      <c r="A65" s="10"/>
      <c r="B65" s="5"/>
      <c r="C65" s="256"/>
      <c r="D65" s="300"/>
      <c r="F65" s="19"/>
      <c r="G65"/>
      <c r="H65"/>
      <c r="I65"/>
      <c r="J65"/>
      <c r="K65" s="228"/>
      <c r="L65" s="5"/>
      <c r="M65"/>
    </row>
    <row r="66" spans="1:13" s="255" customFormat="1" ht="15.6">
      <c r="A66" s="10"/>
      <c r="B66" s="5"/>
      <c r="C66" s="256"/>
      <c r="D66" s="300"/>
      <c r="F66" s="19"/>
      <c r="G66"/>
      <c r="H66"/>
      <c r="I66"/>
      <c r="J66"/>
      <c r="K66" s="228"/>
      <c r="L66" s="5"/>
      <c r="M66"/>
    </row>
    <row r="67" spans="1:13" s="255" customFormat="1" ht="15.6">
      <c r="A67" s="10"/>
      <c r="B67" s="5"/>
      <c r="C67" s="256"/>
      <c r="D67" s="300"/>
      <c r="F67" s="19"/>
      <c r="G67"/>
      <c r="H67"/>
      <c r="I67"/>
      <c r="J67"/>
      <c r="K67" s="228"/>
      <c r="L67" s="5"/>
      <c r="M67"/>
    </row>
    <row r="68" spans="1:13" s="255" customFormat="1" ht="15.6">
      <c r="A68" s="10"/>
      <c r="B68" s="5"/>
      <c r="C68" s="256"/>
      <c r="D68" s="300"/>
      <c r="F68" s="19"/>
      <c r="G68"/>
      <c r="H68"/>
      <c r="I68"/>
      <c r="J68"/>
      <c r="K68" s="228"/>
      <c r="L68" s="5"/>
      <c r="M68"/>
    </row>
    <row r="69" spans="1:13" s="255" customFormat="1" ht="15.6">
      <c r="A69" s="10"/>
      <c r="B69" s="5"/>
      <c r="C69" s="256"/>
      <c r="D69" s="300"/>
      <c r="F69" s="19"/>
      <c r="G69"/>
      <c r="H69"/>
      <c r="I69"/>
      <c r="J69"/>
      <c r="K69" s="228"/>
      <c r="L69" s="5"/>
      <c r="M69"/>
    </row>
    <row r="70" spans="1:13" s="255" customFormat="1" ht="15.6">
      <c r="A70" s="10"/>
      <c r="B70" s="5"/>
      <c r="C70" s="256"/>
      <c r="D70" s="300"/>
      <c r="F70" s="19"/>
      <c r="G70"/>
      <c r="H70"/>
      <c r="I70"/>
      <c r="J70"/>
      <c r="K70" s="228"/>
      <c r="L70" s="5"/>
      <c r="M70"/>
    </row>
    <row r="71" spans="1:13" s="255" customFormat="1" ht="15.6">
      <c r="A71" s="10"/>
      <c r="B71" s="5"/>
      <c r="C71" s="256"/>
      <c r="D71" s="300"/>
      <c r="F71" s="19"/>
      <c r="G71"/>
      <c r="H71"/>
      <c r="I71"/>
      <c r="J71"/>
      <c r="K71" s="228"/>
      <c r="L71" s="5"/>
      <c r="M71"/>
    </row>
    <row r="72" spans="1:13" s="255" customFormat="1" ht="15.6">
      <c r="A72" s="10"/>
      <c r="B72" s="5"/>
      <c r="C72" s="256"/>
      <c r="D72" s="300"/>
      <c r="F72" s="19"/>
      <c r="G72"/>
      <c r="H72"/>
      <c r="I72"/>
      <c r="J72"/>
      <c r="K72" s="228"/>
      <c r="L72" s="5"/>
      <c r="M72"/>
    </row>
    <row r="73" spans="1:13" s="255" customFormat="1" ht="15.6">
      <c r="A73" s="10"/>
      <c r="B73" s="5"/>
      <c r="C73" s="256"/>
      <c r="D73" s="300"/>
      <c r="F73" s="19"/>
      <c r="G73"/>
      <c r="H73"/>
      <c r="I73"/>
      <c r="J73"/>
      <c r="K73" s="228"/>
      <c r="L73" s="5"/>
      <c r="M73"/>
    </row>
    <row r="74" spans="1:13" s="255" customFormat="1" ht="15.6">
      <c r="A74" s="10"/>
      <c r="B74" s="5"/>
      <c r="C74" s="256"/>
      <c r="D74" s="300"/>
      <c r="F74" s="19"/>
      <c r="G74"/>
      <c r="H74"/>
      <c r="I74"/>
      <c r="J74"/>
      <c r="K74" s="228"/>
      <c r="L74" s="5"/>
      <c r="M74"/>
    </row>
    <row r="75" spans="1:13" s="255" customFormat="1" ht="15.6">
      <c r="A75" s="10"/>
      <c r="B75" s="5"/>
      <c r="C75" s="256"/>
      <c r="D75" s="300"/>
      <c r="F75" s="19"/>
      <c r="G75"/>
      <c r="H75"/>
      <c r="I75"/>
      <c r="J75"/>
      <c r="K75" s="228"/>
      <c r="L75" s="5"/>
      <c r="M75"/>
    </row>
    <row r="76" spans="1:13" s="255" customFormat="1" ht="15.6">
      <c r="A76" s="10"/>
      <c r="B76" s="5"/>
      <c r="C76" s="256"/>
      <c r="D76" s="300"/>
      <c r="F76" s="19"/>
      <c r="G76"/>
      <c r="H76"/>
      <c r="I76"/>
      <c r="J76"/>
      <c r="K76" s="228"/>
      <c r="L76" s="5"/>
      <c r="M76"/>
    </row>
    <row r="77" spans="1:13" s="255" customFormat="1" ht="15.6">
      <c r="A77" s="10"/>
      <c r="B77" s="5"/>
      <c r="C77" s="256"/>
      <c r="D77" s="300"/>
      <c r="F77" s="19"/>
      <c r="G77"/>
      <c r="H77"/>
      <c r="I77"/>
      <c r="J77"/>
      <c r="K77" s="228"/>
      <c r="L77" s="5"/>
      <c r="M77"/>
    </row>
    <row r="78" spans="1:13" s="255" customFormat="1" ht="15.6">
      <c r="A78" s="10"/>
      <c r="B78" s="5"/>
      <c r="C78" s="256"/>
      <c r="D78" s="300"/>
      <c r="F78" s="19"/>
      <c r="G78"/>
      <c r="H78"/>
      <c r="I78"/>
      <c r="J78"/>
      <c r="K78" s="228"/>
      <c r="L78" s="5"/>
      <c r="M78"/>
    </row>
    <row r="79" spans="1:13" s="255" customFormat="1" ht="15.6">
      <c r="A79" s="10"/>
      <c r="B79" s="5"/>
      <c r="C79" s="256"/>
      <c r="D79" s="300"/>
      <c r="F79" s="19"/>
      <c r="G79"/>
      <c r="H79"/>
      <c r="I79"/>
      <c r="J79"/>
      <c r="K79" s="228"/>
      <c r="L79" s="5"/>
      <c r="M79"/>
    </row>
    <row r="80" spans="1:13" s="255" customFormat="1" ht="15.6">
      <c r="A80" s="10"/>
      <c r="B80" s="5"/>
      <c r="C80" s="256"/>
      <c r="D80" s="300"/>
      <c r="F80" s="19"/>
      <c r="G80"/>
      <c r="H80"/>
      <c r="I80"/>
      <c r="J80"/>
      <c r="K80" s="228"/>
      <c r="L80" s="5"/>
      <c r="M80"/>
    </row>
    <row r="81" spans="1:13" s="255" customFormat="1" ht="15.6">
      <c r="A81" s="10"/>
      <c r="B81" s="5"/>
      <c r="C81" s="256"/>
      <c r="D81" s="300"/>
      <c r="F81" s="19"/>
      <c r="G81"/>
      <c r="H81"/>
      <c r="I81"/>
      <c r="J81"/>
      <c r="K81" s="228"/>
      <c r="L81" s="5"/>
      <c r="M81"/>
    </row>
    <row r="82" spans="1:13" s="255" customFormat="1" ht="15.6">
      <c r="A82" s="10"/>
      <c r="B82" s="5"/>
      <c r="C82" s="256"/>
      <c r="D82" s="300"/>
      <c r="F82" s="19"/>
      <c r="G82"/>
      <c r="H82"/>
      <c r="I82"/>
      <c r="J82"/>
      <c r="K82" s="228"/>
      <c r="L82" s="5"/>
      <c r="M82"/>
    </row>
    <row r="83" spans="1:13" s="255" customFormat="1" ht="15.6">
      <c r="A83" s="10"/>
      <c r="B83" s="5"/>
      <c r="C83" s="256"/>
      <c r="D83" s="300"/>
      <c r="F83" s="19"/>
      <c r="G83"/>
      <c r="H83"/>
      <c r="I83"/>
      <c r="J83"/>
      <c r="K83" s="228"/>
      <c r="L83" s="5"/>
      <c r="M83"/>
    </row>
  </sheetData>
  <autoFilter ref="A5:M37" xr:uid="{CB3395C7-DED4-4694-A52D-4677CA244917}"/>
  <mergeCells count="66">
    <mergeCell ref="I1:J2"/>
    <mergeCell ref="A8:A9"/>
    <mergeCell ref="B8:B9"/>
    <mergeCell ref="C8:C9"/>
    <mergeCell ref="D8:D9"/>
    <mergeCell ref="A1:A4"/>
    <mergeCell ref="B1:B3"/>
    <mergeCell ref="F8:F9"/>
    <mergeCell ref="G8:G9"/>
    <mergeCell ref="H8:H9"/>
    <mergeCell ref="L8:L9"/>
    <mergeCell ref="M8:M9"/>
    <mergeCell ref="M11:M21"/>
    <mergeCell ref="A11:A21"/>
    <mergeCell ref="B11:B21"/>
    <mergeCell ref="C11:C21"/>
    <mergeCell ref="D11:D21"/>
    <mergeCell ref="E11:E21"/>
    <mergeCell ref="F11:F21"/>
    <mergeCell ref="G11:G21"/>
    <mergeCell ref="H11:H21"/>
    <mergeCell ref="L11:L21"/>
    <mergeCell ref="G23:G26"/>
    <mergeCell ref="H23:H26"/>
    <mergeCell ref="L23:L26"/>
    <mergeCell ref="M23:M26"/>
    <mergeCell ref="A23:A26"/>
    <mergeCell ref="B23:B26"/>
    <mergeCell ref="C23:C26"/>
    <mergeCell ref="D23:D26"/>
    <mergeCell ref="E23:E26"/>
    <mergeCell ref="A27:A28"/>
    <mergeCell ref="B27:B28"/>
    <mergeCell ref="C27:C28"/>
    <mergeCell ref="D27:D28"/>
    <mergeCell ref="F23:F26"/>
    <mergeCell ref="M27:M28"/>
    <mergeCell ref="E27:E28"/>
    <mergeCell ref="F27:F28"/>
    <mergeCell ref="G27:G28"/>
    <mergeCell ref="H27:H28"/>
    <mergeCell ref="J27:J28"/>
    <mergeCell ref="L27:L28"/>
    <mergeCell ref="M29:M31"/>
    <mergeCell ref="A29:A31"/>
    <mergeCell ref="B29:B31"/>
    <mergeCell ref="C29:C31"/>
    <mergeCell ref="D29:D31"/>
    <mergeCell ref="E29:E31"/>
    <mergeCell ref="F29:F31"/>
    <mergeCell ref="G29:G31"/>
    <mergeCell ref="H29:H31"/>
    <mergeCell ref="K29:K31"/>
    <mergeCell ref="L29:L31"/>
    <mergeCell ref="L32:L34"/>
    <mergeCell ref="M32:M34"/>
    <mergeCell ref="A32:A34"/>
    <mergeCell ref="B32:B34"/>
    <mergeCell ref="C32:C34"/>
    <mergeCell ref="D32:D34"/>
    <mergeCell ref="E32:E34"/>
    <mergeCell ref="D56:D83"/>
    <mergeCell ref="F32:F34"/>
    <mergeCell ref="G32:G34"/>
    <mergeCell ref="H32:H34"/>
    <mergeCell ref="K32:K34"/>
  </mergeCells>
  <conditionalFormatting sqref="D1:F11 D12:D21 F12:F21 D22:F23 D24:D26 F24:F26 D27:F27 D28 F28 D29:F29 D30:D31 F30:F31 D32:F32 D33:D34 F33:F34 D35:F55 E56:F83 D84:F1048576">
    <cfRule type="beginsWith" dxfId="51" priority="1" stopIfTrue="1" operator="beginsWith" text="AC">
      <formula>LEFT(D1,LEN("AC"))="AC"</formula>
    </cfRule>
    <cfRule type="beginsWith" dxfId="50" priority="2" stopIfTrue="1" operator="beginsWith" text="IN">
      <formula>LEFT(D1,LEN("IN"))="IN"</formula>
    </cfRule>
  </conditionalFormatting>
  <hyperlinks>
    <hyperlink ref="L6" r:id="rId1" xr:uid="{A12D7263-E24E-4FC8-B499-27FEE4F80C3F}"/>
    <hyperlink ref="L23" r:id="rId2" xr:uid="{61C3F27C-1FED-4710-9A77-C92DD16B6809}"/>
    <hyperlink ref="L27" r:id="rId3" xr:uid="{1011CD59-D285-4A59-A0A4-849D8255B88E}"/>
    <hyperlink ref="L29" r:id="rId4" xr:uid="{01C3A03B-BAEE-449F-AB79-8556BA062A31}"/>
    <hyperlink ref="L32" r:id="rId5" xr:uid="{63ACFC79-33DF-4819-9636-C3F6E04B0075}"/>
    <hyperlink ref="L8" r:id="rId6" xr:uid="{EAA0801B-6C51-46F7-B30F-D930C3732851}"/>
    <hyperlink ref="L10" r:id="rId7" xr:uid="{84E0153D-054D-499F-8FDF-B7FDEE7BDD80}"/>
    <hyperlink ref="L7" r:id="rId8" xr:uid="{B9C3F97B-E89D-4181-B6DB-0A33096078A9}"/>
    <hyperlink ref="L11" r:id="rId9" xr:uid="{63655EC9-D169-496A-83D9-5C4C00C96E1B}"/>
  </hyperlinks>
  <pageMargins left="0.25" right="0.25" top="0.75" bottom="0.75" header="0.3" footer="0.3"/>
  <pageSetup scale="23" fitToHeight="0" orientation="portrait" horizontalDpi="4294967293" r:id="rId1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95C7-DED4-4694-A52D-4677CA244917}">
  <sheetPr>
    <pageSetUpPr fitToPage="1"/>
  </sheetPr>
  <dimension ref="A1:M99"/>
  <sheetViews>
    <sheetView zoomScaleNormal="100" zoomScaleSheetLayoutView="85" zoomScalePageLayoutView="70" workbookViewId="0">
      <pane ySplit="5" topLeftCell="A6" activePane="bottomLeft" state="frozen"/>
      <selection pane="bottomLeft" activeCell="B19" sqref="B19:B22"/>
    </sheetView>
  </sheetViews>
  <sheetFormatPr baseColWidth="10" defaultRowHeight="14.4"/>
  <cols>
    <col min="1" max="1" width="19" style="10" customWidth="1"/>
    <col min="2" max="2" width="54.6640625" style="5" customWidth="1"/>
    <col min="3" max="4" width="12.44140625" style="19" customWidth="1"/>
    <col min="5" max="5" width="12.44140625" style="255" customWidth="1"/>
    <col min="6" max="6" width="13.33203125" style="19" customWidth="1"/>
    <col min="7" max="8" width="25.44140625" customWidth="1"/>
    <col min="9" max="9" width="52.44140625" customWidth="1"/>
    <col min="10" max="10" width="23.33203125" customWidth="1"/>
    <col min="11" max="11" width="23.33203125" style="228" customWidth="1"/>
    <col min="12" max="12" width="34.109375" style="5" customWidth="1"/>
    <col min="13" max="13" width="52.44140625" customWidth="1"/>
  </cols>
  <sheetData>
    <row r="1" spans="1:13" ht="15.9" customHeight="1">
      <c r="A1" s="436"/>
      <c r="B1" s="441" t="s">
        <v>248</v>
      </c>
      <c r="C1" s="52" t="s">
        <v>244</v>
      </c>
      <c r="D1" s="62" t="s">
        <v>260</v>
      </c>
      <c r="E1" s="77"/>
      <c r="F1" s="77" t="s">
        <v>596</v>
      </c>
      <c r="G1" s="77"/>
      <c r="H1" s="77" t="s">
        <v>617</v>
      </c>
      <c r="I1" s="443" t="s">
        <v>618</v>
      </c>
      <c r="J1" s="443"/>
      <c r="K1" s="213"/>
    </row>
    <row r="2" spans="1:13" ht="15.6">
      <c r="A2" s="438"/>
      <c r="B2" s="442"/>
      <c r="C2" s="52" t="s">
        <v>245</v>
      </c>
      <c r="D2" s="62" t="s">
        <v>611</v>
      </c>
      <c r="E2" s="77" t="s">
        <v>616</v>
      </c>
      <c r="F2" s="259" t="s">
        <v>597</v>
      </c>
      <c r="G2" s="77"/>
      <c r="H2" s="77"/>
      <c r="I2" s="443"/>
      <c r="J2" s="443"/>
      <c r="K2" s="213"/>
    </row>
    <row r="3" spans="1:13" ht="15.6">
      <c r="A3" s="438"/>
      <c r="B3" s="442"/>
      <c r="C3" s="52" t="s">
        <v>246</v>
      </c>
      <c r="D3" s="272" t="s">
        <v>609</v>
      </c>
      <c r="E3" s="78"/>
      <c r="F3" s="260" t="s">
        <v>598</v>
      </c>
      <c r="G3" s="78"/>
      <c r="H3" s="78"/>
      <c r="I3" s="78"/>
      <c r="J3" s="78"/>
      <c r="K3" s="213"/>
    </row>
    <row r="4" spans="1:13" ht="15.75" customHeight="1">
      <c r="A4" s="440"/>
      <c r="B4" s="270" t="s">
        <v>608</v>
      </c>
      <c r="C4" s="61" t="s">
        <v>247</v>
      </c>
      <c r="D4" s="62" t="s">
        <v>610</v>
      </c>
      <c r="E4" s="77"/>
      <c r="F4" s="261" t="s">
        <v>599</v>
      </c>
      <c r="G4" s="77"/>
      <c r="H4" s="77"/>
      <c r="I4" s="77"/>
      <c r="J4" s="77"/>
      <c r="K4" s="213"/>
    </row>
    <row r="5" spans="1:13" ht="42.75" customHeight="1" thickBot="1">
      <c r="A5" s="79" t="s">
        <v>3</v>
      </c>
      <c r="B5" s="12" t="s">
        <v>238</v>
      </c>
      <c r="C5" s="79" t="s">
        <v>363</v>
      </c>
      <c r="D5" s="195" t="s">
        <v>4</v>
      </c>
      <c r="E5" s="254" t="s">
        <v>553</v>
      </c>
      <c r="F5" s="195" t="s">
        <v>526</v>
      </c>
      <c r="G5" s="81" t="s">
        <v>276</v>
      </c>
      <c r="H5" s="81" t="s">
        <v>280</v>
      </c>
      <c r="I5" s="81" t="s">
        <v>392</v>
      </c>
      <c r="J5" s="81" t="s">
        <v>292</v>
      </c>
      <c r="K5" s="214" t="s">
        <v>537</v>
      </c>
      <c r="L5" s="81" t="s">
        <v>282</v>
      </c>
      <c r="M5" s="82" t="s">
        <v>277</v>
      </c>
    </row>
    <row r="6" spans="1:13">
      <c r="A6" s="314" t="s">
        <v>65</v>
      </c>
      <c r="B6" s="371" t="s">
        <v>543</v>
      </c>
      <c r="C6" s="314" t="s">
        <v>133</v>
      </c>
      <c r="D6" s="314" t="s">
        <v>241</v>
      </c>
      <c r="E6" s="349" t="s">
        <v>224</v>
      </c>
      <c r="F6" s="314" t="s">
        <v>517</v>
      </c>
      <c r="G6" s="303" t="s">
        <v>334</v>
      </c>
      <c r="H6" s="303" t="s">
        <v>335</v>
      </c>
      <c r="I6" s="153" t="s">
        <v>289</v>
      </c>
      <c r="J6" s="153" t="s">
        <v>180</v>
      </c>
      <c r="K6" s="307">
        <v>50</v>
      </c>
      <c r="L6" s="346" t="s">
        <v>336</v>
      </c>
      <c r="M6" s="347" t="s">
        <v>337</v>
      </c>
    </row>
    <row r="7" spans="1:13">
      <c r="A7" s="350"/>
      <c r="B7" s="383"/>
      <c r="C7" s="350"/>
      <c r="D7" s="350"/>
      <c r="E7" s="350"/>
      <c r="F7" s="350"/>
      <c r="G7" s="310"/>
      <c r="H7" s="310"/>
      <c r="I7" s="152" t="s">
        <v>315</v>
      </c>
      <c r="J7" s="152">
        <v>380</v>
      </c>
      <c r="K7" s="308"/>
      <c r="L7" s="310"/>
      <c r="M7" s="408"/>
    </row>
    <row r="8" spans="1:13">
      <c r="A8" s="350"/>
      <c r="B8" s="383"/>
      <c r="C8" s="350"/>
      <c r="D8" s="350"/>
      <c r="E8" s="350"/>
      <c r="F8" s="350"/>
      <c r="G8" s="310"/>
      <c r="H8" s="310"/>
      <c r="I8" s="152" t="s">
        <v>307</v>
      </c>
      <c r="J8" s="152">
        <v>380</v>
      </c>
      <c r="K8" s="308"/>
      <c r="L8" s="310"/>
      <c r="M8" s="408"/>
    </row>
    <row r="9" spans="1:13" ht="15" thickBot="1">
      <c r="A9" s="315"/>
      <c r="B9" s="372"/>
      <c r="C9" s="315"/>
      <c r="D9" s="315"/>
      <c r="E9" s="315"/>
      <c r="F9" s="315"/>
      <c r="G9" s="304"/>
      <c r="H9" s="304"/>
      <c r="I9" s="154" t="s">
        <v>289</v>
      </c>
      <c r="J9" s="154">
        <v>356</v>
      </c>
      <c r="K9" s="309"/>
      <c r="L9" s="304"/>
      <c r="M9" s="306"/>
    </row>
    <row r="10" spans="1:13">
      <c r="A10" s="314" t="s">
        <v>75</v>
      </c>
      <c r="B10" s="371" t="s">
        <v>17</v>
      </c>
      <c r="C10" s="314" t="s">
        <v>131</v>
      </c>
      <c r="D10" s="314" t="s">
        <v>242</v>
      </c>
      <c r="E10" s="349" t="s">
        <v>224</v>
      </c>
      <c r="F10" s="314" t="s">
        <v>168</v>
      </c>
      <c r="G10" s="303" t="s">
        <v>498</v>
      </c>
      <c r="H10" s="303" t="s">
        <v>499</v>
      </c>
      <c r="I10" s="153" t="s">
        <v>296</v>
      </c>
      <c r="J10" s="153">
        <v>380</v>
      </c>
      <c r="K10" s="307">
        <v>30</v>
      </c>
      <c r="L10" s="303"/>
      <c r="M10" s="373" t="s">
        <v>438</v>
      </c>
    </row>
    <row r="11" spans="1:13" ht="15" customHeight="1">
      <c r="A11" s="350"/>
      <c r="B11" s="383"/>
      <c r="C11" s="350"/>
      <c r="D11" s="350"/>
      <c r="E11" s="460"/>
      <c r="F11" s="350"/>
      <c r="G11" s="310"/>
      <c r="H11" s="310"/>
      <c r="I11" s="152" t="s">
        <v>576</v>
      </c>
      <c r="J11" s="152">
        <v>380</v>
      </c>
      <c r="K11" s="308"/>
      <c r="L11" s="310"/>
      <c r="M11" s="451"/>
    </row>
    <row r="12" spans="1:13" ht="15" thickBot="1">
      <c r="A12" s="315"/>
      <c r="B12" s="372"/>
      <c r="C12" s="315"/>
      <c r="D12" s="315"/>
      <c r="E12" s="461"/>
      <c r="F12" s="315"/>
      <c r="G12" s="304"/>
      <c r="H12" s="304"/>
      <c r="I12" s="154" t="s">
        <v>439</v>
      </c>
      <c r="J12" s="154">
        <v>380</v>
      </c>
      <c r="K12" s="309"/>
      <c r="L12" s="304"/>
      <c r="M12" s="374"/>
    </row>
    <row r="13" spans="1:13" ht="15" thickBot="1">
      <c r="A13" s="89" t="s">
        <v>80</v>
      </c>
      <c r="B13" s="135" t="s">
        <v>364</v>
      </c>
      <c r="C13" s="136" t="s">
        <v>544</v>
      </c>
      <c r="D13" s="136" t="s">
        <v>241</v>
      </c>
      <c r="E13" s="269" t="s">
        <v>552</v>
      </c>
      <c r="F13" s="136" t="s">
        <v>517</v>
      </c>
      <c r="G13" s="144" t="s">
        <v>440</v>
      </c>
      <c r="H13" s="144" t="s">
        <v>442</v>
      </c>
      <c r="I13" s="144" t="s">
        <v>441</v>
      </c>
      <c r="J13" s="144">
        <v>380</v>
      </c>
      <c r="K13" s="220"/>
      <c r="L13" s="115" t="s">
        <v>443</v>
      </c>
      <c r="M13" s="115" t="s">
        <v>444</v>
      </c>
    </row>
    <row r="14" spans="1:13">
      <c r="A14" s="314" t="s">
        <v>101</v>
      </c>
      <c r="B14" s="371" t="s">
        <v>454</v>
      </c>
      <c r="C14" s="314" t="s">
        <v>133</v>
      </c>
      <c r="D14" s="314" t="s">
        <v>241</v>
      </c>
      <c r="E14" s="396" t="s">
        <v>552</v>
      </c>
      <c r="F14" s="314" t="s">
        <v>517</v>
      </c>
      <c r="G14" s="303" t="s">
        <v>447</v>
      </c>
      <c r="H14" s="303"/>
      <c r="I14" s="126" t="s">
        <v>448</v>
      </c>
      <c r="J14" s="126">
        <v>380</v>
      </c>
      <c r="K14" s="217"/>
      <c r="L14" s="303" t="s">
        <v>450</v>
      </c>
      <c r="M14" s="420" t="s">
        <v>451</v>
      </c>
    </row>
    <row r="15" spans="1:13">
      <c r="A15" s="350"/>
      <c r="B15" s="383"/>
      <c r="C15" s="350"/>
      <c r="D15" s="350"/>
      <c r="E15" s="350"/>
      <c r="F15" s="350"/>
      <c r="G15" s="310"/>
      <c r="H15" s="310"/>
      <c r="I15" s="127" t="s">
        <v>446</v>
      </c>
      <c r="J15" s="127">
        <v>380</v>
      </c>
      <c r="K15" s="132"/>
      <c r="L15" s="310"/>
      <c r="M15" s="348"/>
    </row>
    <row r="16" spans="1:13">
      <c r="A16" s="350"/>
      <c r="B16" s="383"/>
      <c r="C16" s="350"/>
      <c r="D16" s="350"/>
      <c r="E16" s="350"/>
      <c r="F16" s="350"/>
      <c r="G16" s="310"/>
      <c r="H16" s="310"/>
      <c r="I16" s="127" t="s">
        <v>449</v>
      </c>
      <c r="J16" s="127">
        <v>380</v>
      </c>
      <c r="K16" s="132"/>
      <c r="L16" s="310"/>
      <c r="M16" s="348"/>
    </row>
    <row r="17" spans="1:13">
      <c r="A17" s="350"/>
      <c r="B17" s="383"/>
      <c r="C17" s="350"/>
      <c r="D17" s="350"/>
      <c r="E17" s="350"/>
      <c r="F17" s="350"/>
      <c r="G17" s="310"/>
      <c r="H17" s="310"/>
      <c r="I17" s="127" t="s">
        <v>312</v>
      </c>
      <c r="J17" s="127">
        <v>380</v>
      </c>
      <c r="K17" s="132"/>
      <c r="L17" s="310"/>
      <c r="M17" s="348"/>
    </row>
    <row r="18" spans="1:13" ht="15" thickBot="1">
      <c r="A18" s="315"/>
      <c r="B18" s="372"/>
      <c r="C18" s="315"/>
      <c r="D18" s="315"/>
      <c r="E18" s="315"/>
      <c r="F18" s="315"/>
      <c r="G18" s="304"/>
      <c r="H18" s="304"/>
      <c r="I18" s="128" t="s">
        <v>284</v>
      </c>
      <c r="J18" s="128">
        <v>380</v>
      </c>
      <c r="K18" s="149"/>
      <c r="L18" s="304"/>
      <c r="M18" s="366"/>
    </row>
    <row r="19" spans="1:13">
      <c r="A19" s="322" t="s">
        <v>104</v>
      </c>
      <c r="B19" s="384" t="s">
        <v>46</v>
      </c>
      <c r="C19" s="322" t="s">
        <v>133</v>
      </c>
      <c r="D19" s="322" t="s">
        <v>241</v>
      </c>
      <c r="E19" s="262" t="s">
        <v>224</v>
      </c>
      <c r="F19" s="322" t="s">
        <v>520</v>
      </c>
      <c r="G19" s="340" t="s">
        <v>362</v>
      </c>
      <c r="H19" s="325" t="s">
        <v>360</v>
      </c>
      <c r="I19" s="161" t="s">
        <v>315</v>
      </c>
      <c r="J19" s="161">
        <v>380</v>
      </c>
      <c r="K19" s="219">
        <v>30</v>
      </c>
      <c r="L19" s="341" t="s">
        <v>358</v>
      </c>
      <c r="M19" s="342" t="s">
        <v>359</v>
      </c>
    </row>
    <row r="20" spans="1:13">
      <c r="A20" s="323"/>
      <c r="B20" s="395"/>
      <c r="C20" s="323"/>
      <c r="D20" s="323"/>
      <c r="E20" s="20"/>
      <c r="F20" s="323"/>
      <c r="G20" s="413"/>
      <c r="H20" s="326"/>
      <c r="I20" s="157" t="s">
        <v>341</v>
      </c>
      <c r="J20" s="157">
        <v>356</v>
      </c>
      <c r="K20" s="157"/>
      <c r="L20" s="326"/>
      <c r="M20" s="343"/>
    </row>
    <row r="21" spans="1:13">
      <c r="A21" s="323"/>
      <c r="B21" s="395"/>
      <c r="C21" s="323"/>
      <c r="D21" s="323"/>
      <c r="E21" s="20"/>
      <c r="F21" s="323"/>
      <c r="G21" s="413"/>
      <c r="H21" s="326"/>
      <c r="I21" s="157" t="s">
        <v>346</v>
      </c>
      <c r="J21" s="157">
        <v>1000</v>
      </c>
      <c r="K21" s="157"/>
      <c r="L21" s="326"/>
      <c r="M21" s="343"/>
    </row>
    <row r="22" spans="1:13" ht="15" thickBot="1">
      <c r="A22" s="361"/>
      <c r="B22" s="418"/>
      <c r="C22" s="361"/>
      <c r="D22" s="361"/>
      <c r="E22" s="54"/>
      <c r="F22" s="361"/>
      <c r="G22" s="415"/>
      <c r="H22" s="362"/>
      <c r="I22" s="116" t="s">
        <v>319</v>
      </c>
      <c r="J22" s="116">
        <v>6000</v>
      </c>
      <c r="K22" s="116"/>
      <c r="L22" s="362"/>
      <c r="M22" s="416"/>
    </row>
    <row r="23" spans="1:13" ht="30.75" customHeight="1" thickBot="1">
      <c r="A23" s="109" t="s">
        <v>108</v>
      </c>
      <c r="B23" s="140" t="s">
        <v>50</v>
      </c>
      <c r="C23" s="109" t="s">
        <v>133</v>
      </c>
      <c r="D23" s="109" t="s">
        <v>241</v>
      </c>
      <c r="E23" s="268" t="s">
        <v>595</v>
      </c>
      <c r="F23" s="109" t="s">
        <v>517</v>
      </c>
      <c r="G23" s="141" t="s">
        <v>456</v>
      </c>
      <c r="H23" s="141" t="s">
        <v>457</v>
      </c>
      <c r="I23" s="212" t="s">
        <v>319</v>
      </c>
      <c r="J23" s="141">
        <v>380</v>
      </c>
      <c r="K23" s="212"/>
      <c r="L23" s="179" t="s">
        <v>458</v>
      </c>
      <c r="M23" s="143" t="s">
        <v>459</v>
      </c>
    </row>
    <row r="24" spans="1:13">
      <c r="A24" s="322" t="s">
        <v>120</v>
      </c>
      <c r="B24" s="384" t="s">
        <v>61</v>
      </c>
      <c r="C24" s="322" t="s">
        <v>133</v>
      </c>
      <c r="D24" s="322" t="s">
        <v>241</v>
      </c>
      <c r="E24" s="396" t="s">
        <v>462</v>
      </c>
      <c r="F24" s="322" t="s">
        <v>517</v>
      </c>
      <c r="G24" s="325" t="s">
        <v>61</v>
      </c>
      <c r="H24" s="325"/>
      <c r="I24" s="153" t="s">
        <v>446</v>
      </c>
      <c r="J24" s="181">
        <v>380</v>
      </c>
      <c r="K24" s="399">
        <v>20</v>
      </c>
      <c r="L24" s="325"/>
      <c r="M24" s="342" t="s">
        <v>463</v>
      </c>
    </row>
    <row r="25" spans="1:13">
      <c r="A25" s="323"/>
      <c r="B25" s="395"/>
      <c r="C25" s="323"/>
      <c r="D25" s="323"/>
      <c r="E25" s="355"/>
      <c r="F25" s="323"/>
      <c r="G25" s="326"/>
      <c r="H25" s="326"/>
      <c r="I25" s="152" t="s">
        <v>461</v>
      </c>
      <c r="J25" s="180">
        <v>6000</v>
      </c>
      <c r="K25" s="400"/>
      <c r="L25" s="326"/>
      <c r="M25" s="343"/>
    </row>
    <row r="26" spans="1:13">
      <c r="A26" s="323"/>
      <c r="B26" s="395"/>
      <c r="C26" s="323"/>
      <c r="D26" s="323"/>
      <c r="E26" s="20" t="s">
        <v>554</v>
      </c>
      <c r="F26" s="323"/>
      <c r="G26" s="326"/>
      <c r="H26" s="326"/>
      <c r="I26" s="152" t="s">
        <v>462</v>
      </c>
      <c r="J26" s="180">
        <v>95</v>
      </c>
      <c r="K26" s="400"/>
      <c r="L26" s="326"/>
      <c r="M26" s="343"/>
    </row>
    <row r="27" spans="1:13" ht="15" thickBot="1">
      <c r="A27" s="324"/>
      <c r="B27" s="385"/>
      <c r="C27" s="324"/>
      <c r="D27" s="324"/>
      <c r="E27" s="48"/>
      <c r="F27" s="324"/>
      <c r="G27" s="327"/>
      <c r="H27" s="327"/>
      <c r="I27" s="165" t="s">
        <v>448</v>
      </c>
      <c r="J27" s="165">
        <v>380</v>
      </c>
      <c r="K27" s="401"/>
      <c r="L27" s="327"/>
      <c r="M27" s="344"/>
    </row>
    <row r="28" spans="1:13" ht="15" thickBot="1">
      <c r="A28" s="109" t="s">
        <v>130</v>
      </c>
      <c r="B28" s="184" t="s">
        <v>467</v>
      </c>
      <c r="C28" s="185" t="s">
        <v>133</v>
      </c>
      <c r="D28" s="191" t="s">
        <v>242</v>
      </c>
      <c r="E28" s="266" t="s">
        <v>552</v>
      </c>
      <c r="F28" s="185" t="s">
        <v>517</v>
      </c>
      <c r="G28" s="112" t="s">
        <v>467</v>
      </c>
      <c r="H28" s="112" t="s">
        <v>468</v>
      </c>
      <c r="I28" s="112" t="s">
        <v>469</v>
      </c>
      <c r="J28" s="112">
        <v>380</v>
      </c>
      <c r="K28" s="112"/>
      <c r="L28" s="184" t="s">
        <v>450</v>
      </c>
      <c r="M28" s="113" t="s">
        <v>470</v>
      </c>
    </row>
    <row r="29" spans="1:13" ht="15" thickBot="1">
      <c r="A29" s="322" t="s">
        <v>202</v>
      </c>
      <c r="B29" s="325" t="s">
        <v>209</v>
      </c>
      <c r="C29" s="328" t="s">
        <v>133</v>
      </c>
      <c r="D29" s="328" t="s">
        <v>241</v>
      </c>
      <c r="E29" s="331" t="s">
        <v>552</v>
      </c>
      <c r="F29" s="328" t="s">
        <v>517</v>
      </c>
      <c r="G29" s="325" t="s">
        <v>478</v>
      </c>
      <c r="H29" s="325" t="s">
        <v>479</v>
      </c>
      <c r="I29" s="86" t="s">
        <v>312</v>
      </c>
      <c r="J29" s="86">
        <v>380</v>
      </c>
      <c r="K29" s="226">
        <v>15</v>
      </c>
      <c r="L29" s="325"/>
      <c r="M29" s="342" t="s">
        <v>481</v>
      </c>
    </row>
    <row r="30" spans="1:13" ht="15" thickBot="1">
      <c r="A30" s="323"/>
      <c r="B30" s="326"/>
      <c r="C30" s="329"/>
      <c r="D30" s="329"/>
      <c r="E30" s="332"/>
      <c r="F30" s="329"/>
      <c r="G30" s="326"/>
      <c r="H30" s="326"/>
      <c r="I30" s="6" t="s">
        <v>288</v>
      </c>
      <c r="J30" s="6">
        <v>380</v>
      </c>
      <c r="K30" s="226">
        <v>5</v>
      </c>
      <c r="L30" s="326"/>
      <c r="M30" s="343"/>
    </row>
    <row r="31" spans="1:13" ht="15" thickBot="1">
      <c r="A31" s="323"/>
      <c r="B31" s="326"/>
      <c r="C31" s="329"/>
      <c r="D31" s="329"/>
      <c r="E31" s="332"/>
      <c r="F31" s="329"/>
      <c r="G31" s="326"/>
      <c r="H31" s="326"/>
      <c r="I31" s="6" t="s">
        <v>480</v>
      </c>
      <c r="J31" s="6">
        <v>380</v>
      </c>
      <c r="K31" s="226">
        <v>30</v>
      </c>
      <c r="L31" s="326"/>
      <c r="M31" s="343"/>
    </row>
    <row r="32" spans="1:13" ht="15" thickBot="1">
      <c r="A32" s="323"/>
      <c r="B32" s="326"/>
      <c r="C32" s="329"/>
      <c r="D32" s="329"/>
      <c r="E32" s="332"/>
      <c r="F32" s="329"/>
      <c r="G32" s="326"/>
      <c r="H32" s="326"/>
      <c r="I32" s="6" t="s">
        <v>346</v>
      </c>
      <c r="J32" s="6">
        <v>380</v>
      </c>
      <c r="K32" s="226">
        <v>5</v>
      </c>
      <c r="L32" s="326"/>
      <c r="M32" s="343"/>
    </row>
    <row r="33" spans="1:13" ht="15" thickBot="1">
      <c r="A33" s="323"/>
      <c r="B33" s="326"/>
      <c r="C33" s="329"/>
      <c r="D33" s="329"/>
      <c r="E33" s="332"/>
      <c r="F33" s="329"/>
      <c r="G33" s="326"/>
      <c r="H33" s="326"/>
      <c r="I33" s="6" t="s">
        <v>448</v>
      </c>
      <c r="J33" s="6">
        <v>380</v>
      </c>
      <c r="K33" s="226">
        <v>5</v>
      </c>
      <c r="L33" s="326"/>
      <c r="M33" s="343"/>
    </row>
    <row r="34" spans="1:13" ht="15" thickBot="1">
      <c r="A34" s="324"/>
      <c r="B34" s="327"/>
      <c r="C34" s="330"/>
      <c r="D34" s="330"/>
      <c r="E34" s="302"/>
      <c r="F34" s="330"/>
      <c r="G34" s="327"/>
      <c r="H34" s="327"/>
      <c r="I34" s="165" t="s">
        <v>446</v>
      </c>
      <c r="J34" s="165">
        <v>380</v>
      </c>
      <c r="K34" s="243">
        <v>5</v>
      </c>
      <c r="L34" s="327"/>
      <c r="M34" s="344"/>
    </row>
    <row r="35" spans="1:13">
      <c r="A35" s="322" t="s">
        <v>212</v>
      </c>
      <c r="B35" s="325" t="s">
        <v>592</v>
      </c>
      <c r="C35" s="328" t="s">
        <v>131</v>
      </c>
      <c r="D35" s="328" t="s">
        <v>241</v>
      </c>
      <c r="E35" s="351" t="s">
        <v>554</v>
      </c>
      <c r="F35" s="328" t="s">
        <v>517</v>
      </c>
      <c r="G35" s="325" t="s">
        <v>424</v>
      </c>
      <c r="H35" s="325" t="s">
        <v>482</v>
      </c>
      <c r="I35" s="153" t="s">
        <v>483</v>
      </c>
      <c r="J35" s="153">
        <v>553</v>
      </c>
      <c r="K35" s="307" t="s">
        <v>590</v>
      </c>
      <c r="L35" s="341" t="s">
        <v>430</v>
      </c>
      <c r="M35" s="342" t="s">
        <v>593</v>
      </c>
    </row>
    <row r="36" spans="1:13">
      <c r="A36" s="323"/>
      <c r="B36" s="326"/>
      <c r="C36" s="329"/>
      <c r="D36" s="329"/>
      <c r="E36" s="332"/>
      <c r="F36" s="329"/>
      <c r="G36" s="326"/>
      <c r="H36" s="326"/>
      <c r="I36" s="152" t="s">
        <v>412</v>
      </c>
      <c r="J36" s="152" t="s">
        <v>176</v>
      </c>
      <c r="K36" s="308"/>
      <c r="L36" s="326"/>
      <c r="M36" s="337"/>
    </row>
    <row r="37" spans="1:13" ht="15" thickBot="1">
      <c r="A37" s="324"/>
      <c r="B37" s="327"/>
      <c r="C37" s="330"/>
      <c r="D37" s="330"/>
      <c r="E37" s="302"/>
      <c r="F37" s="330"/>
      <c r="G37" s="327"/>
      <c r="H37" s="327"/>
      <c r="I37" s="154" t="s">
        <v>423</v>
      </c>
      <c r="J37" s="154" t="s">
        <v>172</v>
      </c>
      <c r="K37" s="309"/>
      <c r="L37" s="327"/>
      <c r="M37" s="338"/>
    </row>
    <row r="38" spans="1:13" ht="26.25" customHeight="1" thickBot="1">
      <c r="A38" s="109" t="s">
        <v>219</v>
      </c>
      <c r="B38" s="179" t="s">
        <v>257</v>
      </c>
      <c r="C38" s="193" t="s">
        <v>131</v>
      </c>
      <c r="D38" s="109" t="s">
        <v>241</v>
      </c>
      <c r="E38" s="258" t="s">
        <v>595</v>
      </c>
      <c r="F38" s="193" t="s">
        <v>168</v>
      </c>
      <c r="G38" s="141" t="s">
        <v>495</v>
      </c>
      <c r="H38" s="141" t="s">
        <v>496</v>
      </c>
      <c r="I38" s="141" t="s">
        <v>493</v>
      </c>
      <c r="J38" s="141">
        <v>380</v>
      </c>
      <c r="K38" s="212">
        <v>45</v>
      </c>
      <c r="L38" s="142" t="s">
        <v>497</v>
      </c>
      <c r="M38" s="143" t="s">
        <v>494</v>
      </c>
    </row>
    <row r="39" spans="1:13" ht="15" thickBot="1">
      <c r="A39" s="109" t="s">
        <v>254</v>
      </c>
      <c r="B39" s="184" t="s">
        <v>264</v>
      </c>
      <c r="C39" s="185" t="s">
        <v>133</v>
      </c>
      <c r="D39" s="111" t="s">
        <v>242</v>
      </c>
      <c r="E39" s="185" t="s">
        <v>552</v>
      </c>
      <c r="F39" s="185" t="s">
        <v>517</v>
      </c>
      <c r="G39" s="112" t="s">
        <v>264</v>
      </c>
      <c r="H39" s="112" t="s">
        <v>514</v>
      </c>
      <c r="I39" s="112" t="s">
        <v>448</v>
      </c>
      <c r="J39" s="112">
        <v>6000</v>
      </c>
      <c r="K39" s="223">
        <v>20</v>
      </c>
      <c r="L39" s="176"/>
      <c r="M39" s="177"/>
    </row>
    <row r="40" spans="1:13" ht="15" thickBot="1">
      <c r="A40" s="92" t="s">
        <v>255</v>
      </c>
      <c r="B40" s="121" t="s">
        <v>275</v>
      </c>
      <c r="C40" s="189" t="s">
        <v>131</v>
      </c>
      <c r="D40" s="230" t="s">
        <v>241</v>
      </c>
      <c r="E40" s="262" t="s">
        <v>224</v>
      </c>
      <c r="F40" s="189" t="s">
        <v>517</v>
      </c>
      <c r="G40" s="166" t="s">
        <v>515</v>
      </c>
      <c r="H40" s="166" t="s">
        <v>564</v>
      </c>
      <c r="I40" s="148" t="s">
        <v>550</v>
      </c>
      <c r="J40" s="166">
        <v>380</v>
      </c>
      <c r="K40" s="224">
        <v>25</v>
      </c>
      <c r="L40" s="238" t="s">
        <v>562</v>
      </c>
      <c r="M40" s="122" t="s">
        <v>563</v>
      </c>
    </row>
    <row r="41" spans="1:13">
      <c r="A41" s="322" t="s">
        <v>265</v>
      </c>
      <c r="B41" s="325" t="s">
        <v>521</v>
      </c>
      <c r="C41" s="328" t="s">
        <v>133</v>
      </c>
      <c r="D41" s="322" t="s">
        <v>241</v>
      </c>
      <c r="E41" s="331" t="s">
        <v>552</v>
      </c>
      <c r="F41" s="328" t="s">
        <v>517</v>
      </c>
      <c r="G41" s="325" t="s">
        <v>521</v>
      </c>
      <c r="H41" s="325" t="s">
        <v>522</v>
      </c>
      <c r="I41" s="153" t="s">
        <v>448</v>
      </c>
      <c r="J41" s="153">
        <v>380</v>
      </c>
      <c r="K41" s="307">
        <v>25</v>
      </c>
      <c r="L41" s="303"/>
      <c r="M41" s="303"/>
    </row>
    <row r="42" spans="1:13">
      <c r="A42" s="323"/>
      <c r="B42" s="326"/>
      <c r="C42" s="329"/>
      <c r="D42" s="323"/>
      <c r="E42" s="332"/>
      <c r="F42" s="329"/>
      <c r="G42" s="326"/>
      <c r="H42" s="326"/>
      <c r="I42" s="152" t="s">
        <v>523</v>
      </c>
      <c r="J42" s="152">
        <v>380</v>
      </c>
      <c r="K42" s="308"/>
      <c r="L42" s="310"/>
      <c r="M42" s="310"/>
    </row>
    <row r="43" spans="1:13">
      <c r="A43" s="323"/>
      <c r="B43" s="326"/>
      <c r="C43" s="329"/>
      <c r="D43" s="323"/>
      <c r="E43" s="332"/>
      <c r="F43" s="329"/>
      <c r="G43" s="326"/>
      <c r="H43" s="326"/>
      <c r="I43" s="152" t="s">
        <v>524</v>
      </c>
      <c r="J43" s="152">
        <v>380</v>
      </c>
      <c r="K43" s="308"/>
      <c r="L43" s="310"/>
      <c r="M43" s="310"/>
    </row>
    <row r="44" spans="1:13" ht="15" thickBot="1">
      <c r="A44" s="324"/>
      <c r="B44" s="327"/>
      <c r="C44" s="330"/>
      <c r="D44" s="324"/>
      <c r="E44" s="302"/>
      <c r="F44" s="330"/>
      <c r="G44" s="327"/>
      <c r="H44" s="327"/>
      <c r="I44" s="116" t="s">
        <v>525</v>
      </c>
      <c r="J44" s="116">
        <v>6000</v>
      </c>
      <c r="K44" s="308"/>
      <c r="L44" s="310"/>
      <c r="M44" s="310"/>
    </row>
    <row r="45" spans="1:13" ht="15" thickBot="1">
      <c r="A45" s="109" t="s">
        <v>268</v>
      </c>
      <c r="B45" s="184" t="s">
        <v>581</v>
      </c>
      <c r="C45" s="185" t="s">
        <v>133</v>
      </c>
      <c r="D45" s="111" t="s">
        <v>241</v>
      </c>
      <c r="E45" s="258" t="s">
        <v>595</v>
      </c>
      <c r="F45" s="185" t="s">
        <v>517</v>
      </c>
      <c r="G45" s="184" t="s">
        <v>536</v>
      </c>
      <c r="H45" s="184" t="s">
        <v>540</v>
      </c>
      <c r="I45" s="141" t="s">
        <v>469</v>
      </c>
      <c r="J45" s="184">
        <v>380</v>
      </c>
      <c r="K45" s="243" t="s">
        <v>580</v>
      </c>
      <c r="L45" s="239" t="s">
        <v>582</v>
      </c>
      <c r="M45" s="176" t="s">
        <v>583</v>
      </c>
    </row>
    <row r="46" spans="1:13" s="25" customFormat="1">
      <c r="A46" s="314" t="s">
        <v>528</v>
      </c>
      <c r="B46" s="303" t="s">
        <v>313</v>
      </c>
      <c r="C46" s="301" t="s">
        <v>133</v>
      </c>
      <c r="D46" s="301" t="s">
        <v>241</v>
      </c>
      <c r="E46" s="301" t="s">
        <v>180</v>
      </c>
      <c r="F46" s="301" t="s">
        <v>520</v>
      </c>
      <c r="G46" s="303" t="s">
        <v>313</v>
      </c>
      <c r="H46" s="303" t="s">
        <v>601</v>
      </c>
      <c r="I46" s="153" t="s">
        <v>288</v>
      </c>
      <c r="J46" s="153" t="s">
        <v>180</v>
      </c>
      <c r="K46" s="153" t="s">
        <v>580</v>
      </c>
      <c r="L46" s="303"/>
      <c r="M46" s="303"/>
    </row>
    <row r="47" spans="1:13" s="25" customFormat="1">
      <c r="A47" s="350"/>
      <c r="B47" s="310"/>
      <c r="C47" s="332"/>
      <c r="D47" s="332"/>
      <c r="E47" s="332"/>
      <c r="F47" s="332"/>
      <c r="G47" s="310"/>
      <c r="H47" s="310"/>
      <c r="I47" s="116" t="s">
        <v>288</v>
      </c>
      <c r="J47" s="116">
        <v>6000</v>
      </c>
      <c r="K47" s="116" t="s">
        <v>602</v>
      </c>
      <c r="L47" s="310"/>
      <c r="M47" s="310"/>
    </row>
    <row r="48" spans="1:13">
      <c r="A48" s="20" t="s">
        <v>530</v>
      </c>
      <c r="B48" s="6" t="s">
        <v>614</v>
      </c>
      <c r="C48" s="18" t="s">
        <v>133</v>
      </c>
      <c r="D48" s="22" t="s">
        <v>241</v>
      </c>
      <c r="E48" s="18" t="s">
        <v>224</v>
      </c>
      <c r="F48" s="18" t="s">
        <v>517</v>
      </c>
      <c r="G48" s="6" t="s">
        <v>614</v>
      </c>
      <c r="H48" s="6" t="s">
        <v>630</v>
      </c>
      <c r="I48" s="7"/>
      <c r="J48" s="7"/>
      <c r="K48" s="7"/>
      <c r="L48" s="7"/>
      <c r="M48" s="7"/>
    </row>
    <row r="49" spans="1:13">
      <c r="A49" s="20" t="s">
        <v>532</v>
      </c>
      <c r="B49" s="6" t="s">
        <v>619</v>
      </c>
      <c r="C49" s="18" t="s">
        <v>133</v>
      </c>
      <c r="D49" s="22" t="s">
        <v>241</v>
      </c>
      <c r="E49" s="18" t="s">
        <v>224</v>
      </c>
      <c r="F49" s="18" t="s">
        <v>517</v>
      </c>
      <c r="G49" s="7"/>
      <c r="H49" s="7"/>
      <c r="I49" s="7"/>
      <c r="J49" s="7"/>
      <c r="K49" s="7"/>
      <c r="L49" s="7"/>
      <c r="M49" s="7"/>
    </row>
    <row r="50" spans="1:13">
      <c r="A50" s="20" t="s">
        <v>622</v>
      </c>
      <c r="B50" s="6" t="s">
        <v>628</v>
      </c>
      <c r="C50" s="18" t="s">
        <v>133</v>
      </c>
      <c r="D50" s="22" t="s">
        <v>241</v>
      </c>
      <c r="E50" s="18" t="s">
        <v>224</v>
      </c>
      <c r="F50" s="18" t="s">
        <v>517</v>
      </c>
      <c r="G50" s="7"/>
      <c r="H50" s="6"/>
      <c r="I50" s="152"/>
      <c r="J50" s="7"/>
      <c r="K50" s="282"/>
      <c r="L50" s="6"/>
      <c r="M50" s="7"/>
    </row>
    <row r="51" spans="1:13">
      <c r="A51" s="20" t="s">
        <v>623</v>
      </c>
      <c r="B51" s="6" t="s">
        <v>259</v>
      </c>
      <c r="C51" s="18"/>
      <c r="D51" s="18"/>
      <c r="E51" s="18"/>
      <c r="F51" s="18"/>
      <c r="G51" s="7"/>
      <c r="H51" s="7"/>
      <c r="I51" s="7"/>
      <c r="J51" s="7"/>
      <c r="K51" s="282"/>
      <c r="L51" s="6"/>
      <c r="M51" s="7"/>
    </row>
    <row r="52" spans="1:13">
      <c r="A52" s="20" t="s">
        <v>624</v>
      </c>
      <c r="B52" s="6" t="s">
        <v>259</v>
      </c>
      <c r="C52" s="18"/>
      <c r="D52" s="18"/>
      <c r="E52" s="18"/>
      <c r="F52" s="18"/>
      <c r="G52" s="7"/>
      <c r="H52" s="7"/>
      <c r="I52" s="7"/>
      <c r="J52" s="7"/>
      <c r="K52" s="282"/>
      <c r="L52" s="6"/>
      <c r="M52" s="7"/>
    </row>
    <row r="53" spans="1:13">
      <c r="A53" s="20" t="s">
        <v>625</v>
      </c>
      <c r="B53" s="6" t="s">
        <v>259</v>
      </c>
      <c r="C53" s="18"/>
      <c r="D53" s="18"/>
      <c r="E53" s="18"/>
      <c r="F53" s="18"/>
      <c r="G53" s="7"/>
      <c r="H53" s="7"/>
      <c r="I53" s="7"/>
      <c r="J53" s="7"/>
      <c r="K53" s="282"/>
      <c r="L53" s="6"/>
      <c r="M53" s="7"/>
    </row>
    <row r="72" spans="3:4" ht="15.6">
      <c r="C72" s="256"/>
      <c r="D72" s="300"/>
    </row>
    <row r="73" spans="3:4" ht="15.6">
      <c r="C73" s="256"/>
      <c r="D73" s="300"/>
    </row>
    <row r="74" spans="3:4" ht="15.6">
      <c r="C74" s="256"/>
      <c r="D74" s="300"/>
    </row>
    <row r="75" spans="3:4" ht="15.6">
      <c r="C75" s="256"/>
      <c r="D75" s="300"/>
    </row>
    <row r="76" spans="3:4" ht="15.6">
      <c r="C76" s="256"/>
      <c r="D76" s="300"/>
    </row>
    <row r="77" spans="3:4" ht="15.6">
      <c r="C77" s="256"/>
      <c r="D77" s="300"/>
    </row>
    <row r="78" spans="3:4" ht="15.6">
      <c r="C78" s="256"/>
      <c r="D78" s="300"/>
    </row>
    <row r="79" spans="3:4" ht="15.6">
      <c r="C79" s="256"/>
      <c r="D79" s="300"/>
    </row>
    <row r="80" spans="3:4" ht="15.6">
      <c r="C80" s="256"/>
      <c r="D80" s="300"/>
    </row>
    <row r="81" spans="3:4" ht="15.6">
      <c r="C81" s="256"/>
      <c r="D81" s="300"/>
    </row>
    <row r="82" spans="3:4" ht="15.6">
      <c r="C82" s="256"/>
      <c r="D82" s="300"/>
    </row>
    <row r="83" spans="3:4" ht="15.6">
      <c r="C83" s="256"/>
      <c r="D83" s="300"/>
    </row>
    <row r="84" spans="3:4" ht="15.6">
      <c r="C84" s="256"/>
      <c r="D84" s="300"/>
    </row>
    <row r="85" spans="3:4" ht="15.6">
      <c r="C85" s="256"/>
      <c r="D85" s="300"/>
    </row>
    <row r="86" spans="3:4" ht="15.6">
      <c r="C86" s="256"/>
      <c r="D86" s="300"/>
    </row>
    <row r="87" spans="3:4" ht="15.6">
      <c r="C87" s="256"/>
      <c r="D87" s="300"/>
    </row>
    <row r="88" spans="3:4" ht="15.6">
      <c r="C88" s="256"/>
      <c r="D88" s="300"/>
    </row>
    <row r="89" spans="3:4" ht="15.6">
      <c r="C89" s="256"/>
      <c r="D89" s="300"/>
    </row>
    <row r="90" spans="3:4" ht="15.6">
      <c r="C90" s="256"/>
      <c r="D90" s="300"/>
    </row>
    <row r="91" spans="3:4" ht="15.6">
      <c r="C91" s="256"/>
      <c r="D91" s="300"/>
    </row>
    <row r="92" spans="3:4" ht="15.6">
      <c r="C92" s="256"/>
      <c r="D92" s="300"/>
    </row>
    <row r="93" spans="3:4" ht="15.6">
      <c r="C93" s="256"/>
      <c r="D93" s="300"/>
    </row>
    <row r="94" spans="3:4" ht="15.6">
      <c r="C94" s="256"/>
      <c r="D94" s="300"/>
    </row>
    <row r="95" spans="3:4" ht="15.6">
      <c r="C95" s="256"/>
      <c r="D95" s="300"/>
    </row>
    <row r="96" spans="3:4" ht="15.6">
      <c r="C96" s="256"/>
      <c r="D96" s="300"/>
    </row>
    <row r="97" spans="3:4" ht="15.6">
      <c r="C97" s="256"/>
      <c r="D97" s="300"/>
    </row>
    <row r="98" spans="3:4" ht="15.6">
      <c r="C98" s="256"/>
      <c r="D98" s="300"/>
    </row>
    <row r="99" spans="3:4" ht="15.6">
      <c r="C99" s="256"/>
      <c r="D99" s="300"/>
    </row>
  </sheetData>
  <autoFilter ref="A5:M53" xr:uid="{CB3395C7-DED4-4694-A52D-4677CA244917}"/>
  <mergeCells count="98">
    <mergeCell ref="M24:M27"/>
    <mergeCell ref="K24:K27"/>
    <mergeCell ref="H24:H27"/>
    <mergeCell ref="G24:G27"/>
    <mergeCell ref="L19:L22"/>
    <mergeCell ref="M19:M22"/>
    <mergeCell ref="H19:H22"/>
    <mergeCell ref="G19:G22"/>
    <mergeCell ref="A41:A44"/>
    <mergeCell ref="G41:G44"/>
    <mergeCell ref="H41:H44"/>
    <mergeCell ref="B41:B44"/>
    <mergeCell ref="E41:E44"/>
    <mergeCell ref="C41:C44"/>
    <mergeCell ref="D41:D44"/>
    <mergeCell ref="F41:F44"/>
    <mergeCell ref="I1:J2"/>
    <mergeCell ref="B6:B9"/>
    <mergeCell ref="K6:K9"/>
    <mergeCell ref="A14:A18"/>
    <mergeCell ref="A1:A4"/>
    <mergeCell ref="H6:H9"/>
    <mergeCell ref="F6:F9"/>
    <mergeCell ref="B14:B18"/>
    <mergeCell ref="H10:H12"/>
    <mergeCell ref="G10:G12"/>
    <mergeCell ref="F10:F12"/>
    <mergeCell ref="K10:K12"/>
    <mergeCell ref="E14:E18"/>
    <mergeCell ref="E10:E12"/>
    <mergeCell ref="C10:C12"/>
    <mergeCell ref="D10:D12"/>
    <mergeCell ref="B24:B27"/>
    <mergeCell ref="A24:A27"/>
    <mergeCell ref="C24:C27"/>
    <mergeCell ref="E24:E25"/>
    <mergeCell ref="B1:B3"/>
    <mergeCell ref="C6:C9"/>
    <mergeCell ref="E6:E9"/>
    <mergeCell ref="D6:D9"/>
    <mergeCell ref="F24:F27"/>
    <mergeCell ref="L24:L27"/>
    <mergeCell ref="D24:D27"/>
    <mergeCell ref="F19:F22"/>
    <mergeCell ref="L10:L12"/>
    <mergeCell ref="H14:H18"/>
    <mergeCell ref="G14:G18"/>
    <mergeCell ref="L14:L18"/>
    <mergeCell ref="M14:M18"/>
    <mergeCell ref="F14:F18"/>
    <mergeCell ref="M6:M9"/>
    <mergeCell ref="L6:L9"/>
    <mergeCell ref="G6:G9"/>
    <mergeCell ref="M10:M12"/>
    <mergeCell ref="H29:H34"/>
    <mergeCell ref="G29:G34"/>
    <mergeCell ref="C29:C34"/>
    <mergeCell ref="M29:M34"/>
    <mergeCell ref="L29:L34"/>
    <mergeCell ref="F29:F34"/>
    <mergeCell ref="E29:E34"/>
    <mergeCell ref="D35:D37"/>
    <mergeCell ref="D29:D34"/>
    <mergeCell ref="A6:A9"/>
    <mergeCell ref="B10:B12"/>
    <mergeCell ref="A10:A12"/>
    <mergeCell ref="D14:D18"/>
    <mergeCell ref="D19:D22"/>
    <mergeCell ref="A19:A22"/>
    <mergeCell ref="C19:C22"/>
    <mergeCell ref="B19:B22"/>
    <mergeCell ref="B29:B34"/>
    <mergeCell ref="A29:A34"/>
    <mergeCell ref="C35:C37"/>
    <mergeCell ref="B35:B37"/>
    <mergeCell ref="A35:A37"/>
    <mergeCell ref="C14:C18"/>
    <mergeCell ref="D72:D99"/>
    <mergeCell ref="K41:K44"/>
    <mergeCell ref="M41:M44"/>
    <mergeCell ref="L41:L44"/>
    <mergeCell ref="E35:E37"/>
    <mergeCell ref="K35:K37"/>
    <mergeCell ref="H35:H37"/>
    <mergeCell ref="G35:G37"/>
    <mergeCell ref="M35:M37"/>
    <mergeCell ref="L35:L37"/>
    <mergeCell ref="F35:F37"/>
    <mergeCell ref="M46:M47"/>
    <mergeCell ref="L46:L47"/>
    <mergeCell ref="F46:F47"/>
    <mergeCell ref="G46:G47"/>
    <mergeCell ref="H46:H47"/>
    <mergeCell ref="A46:A47"/>
    <mergeCell ref="B46:B47"/>
    <mergeCell ref="C46:C47"/>
    <mergeCell ref="D46:D47"/>
    <mergeCell ref="E46:E47"/>
  </mergeCells>
  <phoneticPr fontId="10" type="noConversion"/>
  <conditionalFormatting sqref="D1:F6 D7:D9 F7:F9 D10:F10 D13:F14 D15:D18 F15:F18 D19:F24 D25 F25 D26:F29 D30:D34 F30:F34 D35:F35 D36:D37 F36:F37 D38:F41 D45:F46 D48:F71 E72:F99 D100:F1048576">
    <cfRule type="beginsWith" dxfId="49" priority="1" stopIfTrue="1" operator="beginsWith" text="AC">
      <formula>LEFT(D1,LEN("AC"))="AC"</formula>
    </cfRule>
    <cfRule type="beginsWith" dxfId="48" priority="2" stopIfTrue="1" operator="beginsWith" text="IN">
      <formula>LEFT(D1,LEN("IN"))="IN"</formula>
    </cfRule>
  </conditionalFormatting>
  <hyperlinks>
    <hyperlink ref="L6" r:id="rId1" xr:uid="{986C0FF0-F3FB-4CD4-A893-2DF30AA9D58B}"/>
    <hyperlink ref="L19" r:id="rId2" xr:uid="{A418A31C-C156-46CB-85FC-2E1AF2486013}"/>
    <hyperlink ref="L38" r:id="rId3" xr:uid="{1F4A10CC-441F-4512-8A35-C4E893DBFF90}"/>
    <hyperlink ref="L40" r:id="rId4" xr:uid="{A12209FA-0461-3743-B3D8-F8F90A504CDC}"/>
    <hyperlink ref="L45" r:id="rId5" xr:uid="{FC4FE500-6BA8-E841-BD1F-B14EE7EBC7D6}"/>
    <hyperlink ref="L35" r:id="rId6" xr:uid="{3B2FE127-320D-3744-A43C-555061634372}"/>
  </hyperlinks>
  <pageMargins left="0.25" right="0.25" top="0.75" bottom="0.75" header="0.3" footer="0.3"/>
  <pageSetup scale="23" fitToHeight="0" orientation="portrait" horizontalDpi="4294967293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9CA09-C1EB-49F4-B3EB-2DB8B09F468C}">
  <sheetPr>
    <pageSetUpPr fitToPage="1"/>
  </sheetPr>
  <dimension ref="A1:M84"/>
  <sheetViews>
    <sheetView zoomScale="70" zoomScaleNormal="70" zoomScaleSheetLayoutView="85" zoomScalePageLayoutView="70" workbookViewId="0">
      <pane ySplit="5" topLeftCell="A6" activePane="bottomLeft" state="frozen"/>
      <selection pane="bottomLeft" activeCell="B35" sqref="B35"/>
    </sheetView>
  </sheetViews>
  <sheetFormatPr baseColWidth="10" defaultRowHeight="14.4"/>
  <cols>
    <col min="1" max="1" width="30.109375" style="10" customWidth="1"/>
    <col min="2" max="2" width="54.6640625" style="5" customWidth="1"/>
    <col min="3" max="3" width="12.44140625" style="19" customWidth="1"/>
    <col min="4" max="4" width="14.33203125" style="19" bestFit="1" customWidth="1"/>
    <col min="5" max="5" width="12.44140625" style="255" customWidth="1"/>
    <col min="6" max="6" width="15" style="19" customWidth="1"/>
    <col min="7" max="8" width="25.44140625" customWidth="1"/>
    <col min="9" max="9" width="52.44140625" customWidth="1"/>
    <col min="10" max="10" width="23.33203125" customWidth="1"/>
    <col min="11" max="11" width="23.33203125" style="228" customWidth="1"/>
    <col min="12" max="12" width="34.109375" style="5" customWidth="1"/>
    <col min="13" max="13" width="118.6640625" bestFit="1" customWidth="1"/>
  </cols>
  <sheetData>
    <row r="1" spans="1:13" ht="15.9" customHeight="1">
      <c r="A1" s="436"/>
      <c r="B1" s="441" t="s">
        <v>248</v>
      </c>
      <c r="C1" s="52" t="s">
        <v>244</v>
      </c>
      <c r="D1" s="62" t="s">
        <v>260</v>
      </c>
      <c r="E1" s="77"/>
      <c r="F1" s="77" t="s">
        <v>596</v>
      </c>
      <c r="G1" s="77"/>
      <c r="H1" s="77" t="s">
        <v>617</v>
      </c>
      <c r="I1" s="443" t="s">
        <v>618</v>
      </c>
      <c r="J1" s="443"/>
      <c r="K1" s="213"/>
    </row>
    <row r="2" spans="1:13" ht="15.6">
      <c r="A2" s="438"/>
      <c r="B2" s="442"/>
      <c r="C2" s="52" t="s">
        <v>245</v>
      </c>
      <c r="D2" s="62" t="s">
        <v>611</v>
      </c>
      <c r="E2" s="77" t="s">
        <v>616</v>
      </c>
      <c r="F2" s="259" t="s">
        <v>597</v>
      </c>
      <c r="G2" s="77"/>
      <c r="H2" s="77"/>
      <c r="I2" s="443"/>
      <c r="J2" s="443"/>
      <c r="K2" s="213"/>
    </row>
    <row r="3" spans="1:13" ht="15.6">
      <c r="A3" s="438"/>
      <c r="B3" s="442"/>
      <c r="C3" s="52" t="s">
        <v>246</v>
      </c>
      <c r="D3" s="272" t="s">
        <v>609</v>
      </c>
      <c r="E3" s="78"/>
      <c r="F3" s="260" t="s">
        <v>598</v>
      </c>
      <c r="G3" s="78"/>
      <c r="H3" s="78"/>
      <c r="I3" s="78"/>
      <c r="J3" s="78"/>
      <c r="K3" s="213"/>
    </row>
    <row r="4" spans="1:13" ht="15.75" customHeight="1">
      <c r="A4" s="440"/>
      <c r="B4" s="270" t="s">
        <v>608</v>
      </c>
      <c r="C4" s="61" t="s">
        <v>247</v>
      </c>
      <c r="D4" s="62" t="s">
        <v>610</v>
      </c>
      <c r="E4" s="77"/>
      <c r="F4" s="261" t="s">
        <v>599</v>
      </c>
      <c r="G4" s="77"/>
      <c r="H4" s="77"/>
      <c r="I4" s="77"/>
      <c r="J4" s="77"/>
      <c r="K4" s="213"/>
    </row>
    <row r="5" spans="1:13" ht="42.75" customHeight="1" thickBot="1">
      <c r="A5" s="79" t="s">
        <v>3</v>
      </c>
      <c r="B5" s="12" t="s">
        <v>238</v>
      </c>
      <c r="C5" s="79" t="s">
        <v>363</v>
      </c>
      <c r="D5" s="195" t="s">
        <v>4</v>
      </c>
      <c r="E5" s="254" t="s">
        <v>553</v>
      </c>
      <c r="F5" s="195" t="s">
        <v>526</v>
      </c>
      <c r="G5" s="81" t="s">
        <v>276</v>
      </c>
      <c r="H5" s="81" t="s">
        <v>280</v>
      </c>
      <c r="I5" s="81" t="s">
        <v>392</v>
      </c>
      <c r="J5" s="81" t="s">
        <v>292</v>
      </c>
      <c r="K5" s="214" t="s">
        <v>537</v>
      </c>
      <c r="L5" s="81" t="s">
        <v>282</v>
      </c>
      <c r="M5" s="82" t="s">
        <v>277</v>
      </c>
    </row>
    <row r="6" spans="1:13">
      <c r="A6" s="314" t="s">
        <v>81</v>
      </c>
      <c r="B6" s="371" t="s">
        <v>23</v>
      </c>
      <c r="C6" s="314" t="s">
        <v>131</v>
      </c>
      <c r="D6" s="314" t="s">
        <v>242</v>
      </c>
      <c r="E6" s="396" t="s">
        <v>552</v>
      </c>
      <c r="F6" s="314">
        <v>380</v>
      </c>
      <c r="G6" s="303" t="s">
        <v>304</v>
      </c>
      <c r="H6" s="303" t="s">
        <v>301</v>
      </c>
      <c r="I6" s="126" t="s">
        <v>289</v>
      </c>
      <c r="J6" s="129" t="s">
        <v>308</v>
      </c>
      <c r="K6" s="221"/>
      <c r="L6" s="346" t="s">
        <v>306</v>
      </c>
      <c r="M6" s="347" t="s">
        <v>305</v>
      </c>
    </row>
    <row r="7" spans="1:13">
      <c r="A7" s="350"/>
      <c r="B7" s="383"/>
      <c r="C7" s="350"/>
      <c r="D7" s="350"/>
      <c r="E7" s="350"/>
      <c r="F7" s="350"/>
      <c r="G7" s="310"/>
      <c r="H7" s="310"/>
      <c r="I7" s="127" t="s">
        <v>288</v>
      </c>
      <c r="J7" s="119" t="s">
        <v>309</v>
      </c>
      <c r="K7" s="206"/>
      <c r="L7" s="310"/>
      <c r="M7" s="408"/>
    </row>
    <row r="8" spans="1:13" ht="15" thickBot="1">
      <c r="A8" s="315"/>
      <c r="B8" s="372"/>
      <c r="C8" s="315"/>
      <c r="D8" s="315"/>
      <c r="E8" s="315"/>
      <c r="F8" s="315"/>
      <c r="G8" s="304"/>
      <c r="H8" s="304"/>
      <c r="I8" s="128" t="s">
        <v>307</v>
      </c>
      <c r="J8" s="130">
        <v>356</v>
      </c>
      <c r="K8" s="207"/>
      <c r="L8" s="304"/>
      <c r="M8" s="306"/>
    </row>
    <row r="9" spans="1:13" ht="15" thickBot="1">
      <c r="A9" s="89" t="s">
        <v>82</v>
      </c>
      <c r="B9" s="91" t="s">
        <v>24</v>
      </c>
      <c r="C9" s="89" t="s">
        <v>131</v>
      </c>
      <c r="D9" s="89" t="s">
        <v>242</v>
      </c>
      <c r="E9" s="247" t="s">
        <v>224</v>
      </c>
      <c r="F9" s="89" t="s">
        <v>168</v>
      </c>
      <c r="G9" s="132" t="s">
        <v>551</v>
      </c>
      <c r="H9" s="132"/>
      <c r="I9" s="132"/>
      <c r="J9" s="132"/>
      <c r="K9" s="222">
        <v>100</v>
      </c>
      <c r="L9" s="133"/>
      <c r="M9" s="83" t="s">
        <v>575</v>
      </c>
    </row>
    <row r="10" spans="1:13" ht="20.25" customHeight="1" thickBot="1">
      <c r="A10" s="314" t="s">
        <v>88</v>
      </c>
      <c r="B10" s="371" t="s">
        <v>572</v>
      </c>
      <c r="C10" s="314" t="s">
        <v>131</v>
      </c>
      <c r="D10" s="314" t="s">
        <v>241</v>
      </c>
      <c r="E10" s="349" t="s">
        <v>224</v>
      </c>
      <c r="F10" s="314" t="s">
        <v>517</v>
      </c>
      <c r="G10" s="303" t="s">
        <v>453</v>
      </c>
      <c r="H10" s="303" t="s">
        <v>452</v>
      </c>
      <c r="I10" s="112" t="s">
        <v>307</v>
      </c>
      <c r="J10" s="112">
        <v>380</v>
      </c>
      <c r="K10" s="307">
        <v>25</v>
      </c>
      <c r="L10" s="239" t="s">
        <v>570</v>
      </c>
      <c r="M10" s="305" t="s">
        <v>569</v>
      </c>
    </row>
    <row r="11" spans="1:13" s="170" customFormat="1" ht="15" thickBot="1">
      <c r="A11" s="315"/>
      <c r="B11" s="372"/>
      <c r="C11" s="315"/>
      <c r="D11" s="315"/>
      <c r="E11" s="315"/>
      <c r="F11" s="315"/>
      <c r="G11" s="304"/>
      <c r="H11" s="304"/>
      <c r="I11" s="141" t="s">
        <v>445</v>
      </c>
      <c r="J11" s="141">
        <v>380</v>
      </c>
      <c r="K11" s="309"/>
      <c r="L11" s="240" t="s">
        <v>571</v>
      </c>
      <c r="M11" s="306"/>
    </row>
    <row r="12" spans="1:13">
      <c r="A12" s="314" t="s">
        <v>94</v>
      </c>
      <c r="B12" s="371" t="s">
        <v>36</v>
      </c>
      <c r="C12" s="314" t="s">
        <v>131</v>
      </c>
      <c r="D12" s="314" t="s">
        <v>241</v>
      </c>
      <c r="E12" s="349" t="s">
        <v>224</v>
      </c>
      <c r="F12" s="314" t="s">
        <v>168</v>
      </c>
      <c r="G12" s="303" t="s">
        <v>327</v>
      </c>
      <c r="H12" s="303" t="s">
        <v>326</v>
      </c>
      <c r="I12" s="120" t="s">
        <v>296</v>
      </c>
      <c r="J12" s="120" t="s">
        <v>180</v>
      </c>
      <c r="K12" s="224">
        <v>60</v>
      </c>
      <c r="L12" s="419" t="s">
        <v>328</v>
      </c>
      <c r="M12" s="347" t="s">
        <v>325</v>
      </c>
    </row>
    <row r="13" spans="1:13">
      <c r="A13" s="350"/>
      <c r="B13" s="383"/>
      <c r="C13" s="350"/>
      <c r="D13" s="350"/>
      <c r="E13" s="460"/>
      <c r="F13" s="350"/>
      <c r="G13" s="310"/>
      <c r="H13" s="310"/>
      <c r="I13" s="106" t="s">
        <v>299</v>
      </c>
      <c r="J13" s="106" t="s">
        <v>180</v>
      </c>
      <c r="K13" s="144"/>
      <c r="L13" s="462"/>
      <c r="M13" s="348"/>
    </row>
    <row r="14" spans="1:13">
      <c r="A14" s="350"/>
      <c r="B14" s="383"/>
      <c r="C14" s="350"/>
      <c r="D14" s="350"/>
      <c r="E14" s="460"/>
      <c r="F14" s="350"/>
      <c r="G14" s="310"/>
      <c r="H14" s="310"/>
      <c r="I14" s="106" t="s">
        <v>288</v>
      </c>
      <c r="J14" s="106" t="s">
        <v>180</v>
      </c>
      <c r="K14" s="144"/>
      <c r="L14" s="462"/>
      <c r="M14" s="348"/>
    </row>
    <row r="15" spans="1:13">
      <c r="A15" s="350"/>
      <c r="B15" s="383"/>
      <c r="C15" s="350"/>
      <c r="D15" s="350"/>
      <c r="E15" s="460"/>
      <c r="F15" s="350"/>
      <c r="G15" s="310"/>
      <c r="H15" s="310"/>
      <c r="I15" s="106" t="s">
        <v>289</v>
      </c>
      <c r="J15" s="106" t="s">
        <v>180</v>
      </c>
      <c r="K15" s="144"/>
      <c r="L15" s="462"/>
      <c r="M15" s="348"/>
    </row>
    <row r="16" spans="1:13" ht="15" thickBot="1">
      <c r="A16" s="315"/>
      <c r="B16" s="372"/>
      <c r="C16" s="315"/>
      <c r="D16" s="315"/>
      <c r="E16" s="461"/>
      <c r="F16" s="315"/>
      <c r="G16" s="304"/>
      <c r="H16" s="304"/>
      <c r="I16" s="123" t="s">
        <v>307</v>
      </c>
      <c r="J16" s="123" t="s">
        <v>186</v>
      </c>
      <c r="K16" s="168"/>
      <c r="L16" s="463"/>
      <c r="M16" s="366"/>
    </row>
    <row r="17" spans="1:13" ht="15" thickBot="1">
      <c r="A17" s="58" t="s">
        <v>128</v>
      </c>
      <c r="B17" s="59" t="s">
        <v>198</v>
      </c>
      <c r="C17" s="60" t="s">
        <v>131</v>
      </c>
      <c r="D17" s="60" t="s">
        <v>241</v>
      </c>
      <c r="E17" s="262" t="s">
        <v>224</v>
      </c>
      <c r="F17" s="60" t="s">
        <v>517</v>
      </c>
      <c r="G17" s="106" t="s">
        <v>545</v>
      </c>
      <c r="H17" s="106" t="s">
        <v>546</v>
      </c>
      <c r="I17" s="106" t="s">
        <v>547</v>
      </c>
      <c r="J17" s="6">
        <v>380</v>
      </c>
      <c r="K17" s="229">
        <v>125</v>
      </c>
      <c r="L17" s="241" t="s">
        <v>574</v>
      </c>
      <c r="M17" s="6" t="s">
        <v>500</v>
      </c>
    </row>
    <row r="18" spans="1:13">
      <c r="A18" s="322" t="s">
        <v>212</v>
      </c>
      <c r="B18" s="325" t="s">
        <v>592</v>
      </c>
      <c r="C18" s="328" t="s">
        <v>131</v>
      </c>
      <c r="D18" s="328" t="s">
        <v>241</v>
      </c>
      <c r="E18" s="351" t="s">
        <v>554</v>
      </c>
      <c r="F18" s="328" t="s">
        <v>517</v>
      </c>
      <c r="G18" s="325" t="s">
        <v>424</v>
      </c>
      <c r="H18" s="325" t="s">
        <v>482</v>
      </c>
      <c r="I18" s="153" t="s">
        <v>483</v>
      </c>
      <c r="J18" s="153">
        <v>553</v>
      </c>
      <c r="K18" s="307" t="s">
        <v>590</v>
      </c>
      <c r="L18" s="341" t="s">
        <v>430</v>
      </c>
      <c r="M18" s="342" t="s">
        <v>593</v>
      </c>
    </row>
    <row r="19" spans="1:13">
      <c r="A19" s="323"/>
      <c r="B19" s="326"/>
      <c r="C19" s="329"/>
      <c r="D19" s="329"/>
      <c r="E19" s="332"/>
      <c r="F19" s="329"/>
      <c r="G19" s="326"/>
      <c r="H19" s="326"/>
      <c r="I19" s="152" t="s">
        <v>412</v>
      </c>
      <c r="J19" s="152" t="s">
        <v>176</v>
      </c>
      <c r="K19" s="308"/>
      <c r="L19" s="326"/>
      <c r="M19" s="337"/>
    </row>
    <row r="20" spans="1:13" ht="15" thickBot="1">
      <c r="A20" s="324"/>
      <c r="B20" s="327"/>
      <c r="C20" s="330"/>
      <c r="D20" s="330"/>
      <c r="E20" s="302"/>
      <c r="F20" s="330"/>
      <c r="G20" s="327"/>
      <c r="H20" s="327"/>
      <c r="I20" s="154" t="s">
        <v>423</v>
      </c>
      <c r="J20" s="154" t="s">
        <v>172</v>
      </c>
      <c r="K20" s="309"/>
      <c r="L20" s="327"/>
      <c r="M20" s="338"/>
    </row>
    <row r="21" spans="1:13">
      <c r="A21" s="314" t="s">
        <v>214</v>
      </c>
      <c r="B21" s="303" t="s">
        <v>222</v>
      </c>
      <c r="C21" s="301" t="s">
        <v>131</v>
      </c>
      <c r="D21" s="314" t="s">
        <v>241</v>
      </c>
      <c r="E21" s="349" t="s">
        <v>224</v>
      </c>
      <c r="F21" s="301" t="s">
        <v>168</v>
      </c>
      <c r="G21" s="303" t="s">
        <v>485</v>
      </c>
      <c r="H21" s="303" t="s">
        <v>486</v>
      </c>
      <c r="I21" s="126" t="s">
        <v>312</v>
      </c>
      <c r="J21" s="126" t="s">
        <v>180</v>
      </c>
      <c r="K21" s="307">
        <v>30</v>
      </c>
      <c r="L21" s="346" t="s">
        <v>573</v>
      </c>
      <c r="M21" s="347" t="s">
        <v>487</v>
      </c>
    </row>
    <row r="22" spans="1:13">
      <c r="A22" s="350"/>
      <c r="B22" s="310"/>
      <c r="C22" s="332"/>
      <c r="D22" s="350"/>
      <c r="E22" s="460"/>
      <c r="F22" s="332"/>
      <c r="G22" s="310"/>
      <c r="H22" s="310"/>
      <c r="I22" s="131" t="s">
        <v>284</v>
      </c>
      <c r="J22" s="131" t="s">
        <v>180</v>
      </c>
      <c r="K22" s="308"/>
      <c r="L22" s="423"/>
      <c r="M22" s="348"/>
    </row>
    <row r="23" spans="1:13" ht="15" thickBot="1">
      <c r="A23" s="315"/>
      <c r="B23" s="304"/>
      <c r="C23" s="302"/>
      <c r="D23" s="315"/>
      <c r="E23" s="461"/>
      <c r="F23" s="302"/>
      <c r="G23" s="304"/>
      <c r="H23" s="304"/>
      <c r="I23" s="169" t="s">
        <v>299</v>
      </c>
      <c r="J23" s="169" t="s">
        <v>180</v>
      </c>
      <c r="K23" s="309"/>
      <c r="L23" s="457"/>
      <c r="M23" s="366"/>
    </row>
    <row r="24" spans="1:13" ht="15" thickBot="1">
      <c r="A24" s="314" t="s">
        <v>215</v>
      </c>
      <c r="B24" s="303" t="s">
        <v>488</v>
      </c>
      <c r="C24" s="301" t="s">
        <v>131</v>
      </c>
      <c r="D24" s="314" t="s">
        <v>241</v>
      </c>
      <c r="E24" s="349" t="s">
        <v>224</v>
      </c>
      <c r="F24" s="301" t="s">
        <v>168</v>
      </c>
      <c r="G24" s="373" t="s">
        <v>548</v>
      </c>
      <c r="H24" s="373" t="s">
        <v>549</v>
      </c>
      <c r="I24" s="153" t="s">
        <v>312</v>
      </c>
      <c r="J24" s="153" t="s">
        <v>224</v>
      </c>
      <c r="K24" s="227">
        <v>100</v>
      </c>
      <c r="L24" s="346" t="s">
        <v>568</v>
      </c>
      <c r="M24" s="347" t="s">
        <v>589</v>
      </c>
    </row>
    <row r="25" spans="1:13" ht="15" thickBot="1">
      <c r="A25" s="350"/>
      <c r="B25" s="310"/>
      <c r="C25" s="332"/>
      <c r="D25" s="350"/>
      <c r="E25" s="460"/>
      <c r="F25" s="332"/>
      <c r="G25" s="451"/>
      <c r="H25" s="451"/>
      <c r="I25" s="152" t="s">
        <v>437</v>
      </c>
      <c r="J25" s="152" t="s">
        <v>224</v>
      </c>
      <c r="K25" s="227">
        <v>20</v>
      </c>
      <c r="L25" s="423"/>
      <c r="M25" s="348"/>
    </row>
    <row r="26" spans="1:13" ht="15" thickBot="1">
      <c r="A26" s="315"/>
      <c r="B26" s="304"/>
      <c r="C26" s="302"/>
      <c r="D26" s="315"/>
      <c r="E26" s="461"/>
      <c r="F26" s="302"/>
      <c r="G26" s="374"/>
      <c r="H26" s="374"/>
      <c r="I26" s="154" t="s">
        <v>448</v>
      </c>
      <c r="J26" s="154">
        <v>6000</v>
      </c>
      <c r="K26" s="223">
        <v>8</v>
      </c>
      <c r="L26" s="457"/>
      <c r="M26" s="366"/>
    </row>
    <row r="27" spans="1:13" ht="15" thickBot="1">
      <c r="A27" s="109" t="s">
        <v>218</v>
      </c>
      <c r="B27" s="184" t="s">
        <v>600</v>
      </c>
      <c r="C27" s="185" t="s">
        <v>131</v>
      </c>
      <c r="D27" s="111" t="s">
        <v>242</v>
      </c>
      <c r="E27" s="262" t="s">
        <v>224</v>
      </c>
      <c r="F27" s="185" t="s">
        <v>517</v>
      </c>
      <c r="G27" s="112" t="s">
        <v>490</v>
      </c>
      <c r="H27" s="112" t="s">
        <v>491</v>
      </c>
      <c r="I27" s="112" t="s">
        <v>448</v>
      </c>
      <c r="J27" s="112">
        <v>380</v>
      </c>
      <c r="K27" s="223">
        <v>30</v>
      </c>
      <c r="L27" s="239" t="s">
        <v>565</v>
      </c>
      <c r="M27" s="177" t="s">
        <v>567</v>
      </c>
    </row>
    <row r="28" spans="1:13" ht="26.25" customHeight="1" thickBot="1">
      <c r="A28" s="109" t="s">
        <v>219</v>
      </c>
      <c r="B28" s="179" t="s">
        <v>257</v>
      </c>
      <c r="C28" s="193" t="s">
        <v>131</v>
      </c>
      <c r="D28" s="109" t="s">
        <v>241</v>
      </c>
      <c r="E28" s="258" t="s">
        <v>595</v>
      </c>
      <c r="F28" s="193" t="s">
        <v>168</v>
      </c>
      <c r="G28" s="141" t="s">
        <v>495</v>
      </c>
      <c r="H28" s="141" t="s">
        <v>496</v>
      </c>
      <c r="I28" s="141" t="s">
        <v>493</v>
      </c>
      <c r="J28" s="141">
        <v>380</v>
      </c>
      <c r="K28" s="212">
        <v>45</v>
      </c>
      <c r="L28" s="142" t="s">
        <v>497</v>
      </c>
      <c r="M28" s="143" t="s">
        <v>494</v>
      </c>
    </row>
    <row r="29" spans="1:13">
      <c r="A29" s="322" t="s">
        <v>252</v>
      </c>
      <c r="B29" s="325" t="s">
        <v>262</v>
      </c>
      <c r="C29" s="328" t="s">
        <v>131</v>
      </c>
      <c r="D29" s="322" t="s">
        <v>241</v>
      </c>
      <c r="E29" s="339" t="s">
        <v>187</v>
      </c>
      <c r="F29" s="328" t="s">
        <v>518</v>
      </c>
      <c r="G29" s="325" t="s">
        <v>505</v>
      </c>
      <c r="H29" s="325" t="s">
        <v>506</v>
      </c>
      <c r="I29" s="153" t="s">
        <v>507</v>
      </c>
      <c r="J29" s="153">
        <v>356</v>
      </c>
      <c r="K29" s="307">
        <v>120</v>
      </c>
      <c r="L29" s="333" t="s">
        <v>510</v>
      </c>
      <c r="M29" s="336" t="s">
        <v>504</v>
      </c>
    </row>
    <row r="30" spans="1:13">
      <c r="A30" s="323"/>
      <c r="B30" s="326"/>
      <c r="C30" s="329"/>
      <c r="D30" s="323"/>
      <c r="E30" s="332"/>
      <c r="F30" s="329"/>
      <c r="G30" s="326"/>
      <c r="H30" s="326"/>
      <c r="I30" s="152" t="s">
        <v>508</v>
      </c>
      <c r="J30" s="152">
        <v>356</v>
      </c>
      <c r="K30" s="308"/>
      <c r="L30" s="334"/>
      <c r="M30" s="337"/>
    </row>
    <row r="31" spans="1:13" ht="15" thickBot="1">
      <c r="A31" s="324"/>
      <c r="B31" s="327"/>
      <c r="C31" s="330"/>
      <c r="D31" s="324"/>
      <c r="E31" s="302"/>
      <c r="F31" s="330"/>
      <c r="G31" s="327"/>
      <c r="H31" s="327"/>
      <c r="I31" s="165" t="s">
        <v>509</v>
      </c>
      <c r="J31" s="165">
        <v>356</v>
      </c>
      <c r="K31" s="309"/>
      <c r="L31" s="335"/>
      <c r="M31" s="338"/>
    </row>
    <row r="32" spans="1:13" ht="15" thickBot="1">
      <c r="A32" s="92" t="s">
        <v>255</v>
      </c>
      <c r="B32" s="121" t="s">
        <v>275</v>
      </c>
      <c r="C32" s="189" t="s">
        <v>131</v>
      </c>
      <c r="D32" s="230" t="s">
        <v>241</v>
      </c>
      <c r="E32" s="262" t="s">
        <v>224</v>
      </c>
      <c r="F32" s="189" t="s">
        <v>517</v>
      </c>
      <c r="G32" s="166" t="s">
        <v>515</v>
      </c>
      <c r="H32" s="166" t="s">
        <v>564</v>
      </c>
      <c r="I32" s="148" t="s">
        <v>550</v>
      </c>
      <c r="J32" s="166">
        <v>380</v>
      </c>
      <c r="K32" s="224">
        <v>25</v>
      </c>
      <c r="L32" s="238" t="s">
        <v>562</v>
      </c>
      <c r="M32" s="122" t="s">
        <v>563</v>
      </c>
    </row>
    <row r="33" spans="1:13" ht="15" thickBot="1">
      <c r="A33" s="109" t="s">
        <v>267</v>
      </c>
      <c r="B33" s="184" t="s">
        <v>535</v>
      </c>
      <c r="C33" s="185" t="s">
        <v>131</v>
      </c>
      <c r="D33" s="111" t="s">
        <v>241</v>
      </c>
      <c r="E33" s="264" t="s">
        <v>224</v>
      </c>
      <c r="F33" s="185" t="s">
        <v>517</v>
      </c>
      <c r="G33" s="184" t="s">
        <v>561</v>
      </c>
      <c r="H33" s="184" t="s">
        <v>538</v>
      </c>
      <c r="I33" s="141" t="s">
        <v>542</v>
      </c>
      <c r="J33" s="184">
        <v>380</v>
      </c>
      <c r="K33" s="243">
        <v>25</v>
      </c>
      <c r="L33" s="239" t="s">
        <v>560</v>
      </c>
      <c r="M33" s="184" t="s">
        <v>559</v>
      </c>
    </row>
    <row r="34" spans="1:13" ht="15" thickBot="1">
      <c r="A34" s="58" t="s">
        <v>531</v>
      </c>
      <c r="B34" s="6" t="s">
        <v>615</v>
      </c>
      <c r="C34" s="18" t="s">
        <v>131</v>
      </c>
      <c r="D34" s="111" t="s">
        <v>241</v>
      </c>
      <c r="E34" s="196" t="s">
        <v>224</v>
      </c>
      <c r="F34" s="242" t="s">
        <v>517</v>
      </c>
      <c r="G34" s="7"/>
      <c r="H34" s="7"/>
      <c r="I34" s="7"/>
      <c r="J34" s="7"/>
      <c r="K34" s="7"/>
      <c r="L34" s="7"/>
      <c r="M34" s="7"/>
    </row>
    <row r="35" spans="1:13">
      <c r="A35" s="89" t="s">
        <v>534</v>
      </c>
      <c r="B35" s="114" t="s">
        <v>627</v>
      </c>
      <c r="C35" s="279" t="s">
        <v>131</v>
      </c>
      <c r="D35" s="230" t="s">
        <v>241</v>
      </c>
      <c r="E35" s="280" t="s">
        <v>224</v>
      </c>
      <c r="F35" s="281" t="s">
        <v>517</v>
      </c>
      <c r="G35" s="85"/>
      <c r="H35" s="85"/>
      <c r="I35" s="85"/>
      <c r="J35" s="85"/>
      <c r="K35" s="85"/>
      <c r="L35" s="85"/>
      <c r="M35" s="85"/>
    </row>
    <row r="36" spans="1:13">
      <c r="A36" s="20" t="s">
        <v>623</v>
      </c>
      <c r="B36" s="6" t="s">
        <v>259</v>
      </c>
      <c r="C36" s="18"/>
      <c r="D36" s="18"/>
      <c r="E36" s="18"/>
      <c r="F36" s="18"/>
      <c r="G36" s="7"/>
      <c r="H36" s="7"/>
      <c r="I36" s="7"/>
      <c r="J36" s="7"/>
      <c r="K36" s="282"/>
      <c r="L36" s="6"/>
      <c r="M36" s="7"/>
    </row>
    <row r="37" spans="1:13">
      <c r="A37" s="20" t="s">
        <v>624</v>
      </c>
      <c r="B37" s="6" t="s">
        <v>259</v>
      </c>
      <c r="C37" s="18"/>
      <c r="D37" s="18"/>
      <c r="E37" s="18"/>
      <c r="F37" s="18"/>
      <c r="G37" s="7"/>
      <c r="H37" s="7"/>
      <c r="I37" s="7"/>
      <c r="J37" s="7"/>
      <c r="K37" s="282"/>
      <c r="L37" s="6"/>
      <c r="M37" s="7"/>
    </row>
    <row r="38" spans="1:13">
      <c r="A38" s="20" t="s">
        <v>625</v>
      </c>
      <c r="B38" s="6" t="s">
        <v>259</v>
      </c>
      <c r="C38" s="18"/>
      <c r="D38" s="18"/>
      <c r="E38" s="18"/>
      <c r="F38" s="18"/>
      <c r="G38" s="7"/>
      <c r="H38" s="7"/>
      <c r="I38" s="7"/>
      <c r="J38" s="7"/>
      <c r="K38" s="282"/>
      <c r="L38" s="6"/>
      <c r="M38" s="7"/>
    </row>
    <row r="57" spans="1:13" s="255" customFormat="1" ht="15.6">
      <c r="A57" s="10"/>
      <c r="B57" s="5"/>
      <c r="C57" s="256"/>
      <c r="D57" s="300"/>
      <c r="F57" s="19"/>
      <c r="G57"/>
      <c r="H57"/>
      <c r="I57"/>
      <c r="J57"/>
      <c r="K57" s="228"/>
      <c r="L57" s="5"/>
      <c r="M57"/>
    </row>
    <row r="58" spans="1:13" s="255" customFormat="1" ht="15.6">
      <c r="A58" s="10"/>
      <c r="B58" s="5"/>
      <c r="C58" s="256"/>
      <c r="D58" s="300"/>
      <c r="F58" s="19"/>
      <c r="G58"/>
      <c r="H58"/>
      <c r="I58"/>
      <c r="J58"/>
      <c r="K58" s="228"/>
      <c r="L58" s="5"/>
      <c r="M58"/>
    </row>
    <row r="59" spans="1:13" s="255" customFormat="1" ht="15.6">
      <c r="A59" s="10"/>
      <c r="B59" s="5"/>
      <c r="C59" s="256"/>
      <c r="D59" s="300"/>
      <c r="F59" s="19"/>
      <c r="G59"/>
      <c r="H59"/>
      <c r="I59"/>
      <c r="J59"/>
      <c r="K59" s="228"/>
      <c r="L59" s="5"/>
      <c r="M59"/>
    </row>
    <row r="60" spans="1:13" s="255" customFormat="1" ht="15.6">
      <c r="A60" s="10"/>
      <c r="B60" s="5"/>
      <c r="C60" s="256"/>
      <c r="D60" s="300"/>
      <c r="F60" s="19"/>
      <c r="G60"/>
      <c r="H60"/>
      <c r="I60"/>
      <c r="J60"/>
      <c r="K60" s="228"/>
      <c r="L60" s="5"/>
      <c r="M60"/>
    </row>
    <row r="61" spans="1:13" s="255" customFormat="1" ht="15.6">
      <c r="A61" s="10"/>
      <c r="B61" s="5"/>
      <c r="C61" s="256"/>
      <c r="D61" s="300"/>
      <c r="F61" s="19"/>
      <c r="G61"/>
      <c r="H61"/>
      <c r="I61"/>
      <c r="J61"/>
      <c r="K61" s="228"/>
      <c r="L61" s="5"/>
      <c r="M61"/>
    </row>
    <row r="62" spans="1:13" s="255" customFormat="1" ht="15.6">
      <c r="A62" s="10"/>
      <c r="B62" s="5"/>
      <c r="C62" s="256"/>
      <c r="D62" s="300"/>
      <c r="F62" s="19"/>
      <c r="G62"/>
      <c r="H62"/>
      <c r="I62"/>
      <c r="J62"/>
      <c r="K62" s="228"/>
      <c r="L62" s="5"/>
      <c r="M62"/>
    </row>
    <row r="63" spans="1:13" s="255" customFormat="1" ht="15.6">
      <c r="A63" s="10"/>
      <c r="B63" s="5"/>
      <c r="C63" s="256"/>
      <c r="D63" s="300"/>
      <c r="F63" s="19"/>
      <c r="G63"/>
      <c r="H63"/>
      <c r="I63"/>
      <c r="J63"/>
      <c r="K63" s="228"/>
      <c r="L63" s="5"/>
      <c r="M63"/>
    </row>
    <row r="64" spans="1:13" s="255" customFormat="1" ht="15.6">
      <c r="A64" s="10"/>
      <c r="B64" s="5"/>
      <c r="C64" s="256"/>
      <c r="D64" s="300"/>
      <c r="F64" s="19"/>
      <c r="G64"/>
      <c r="H64"/>
      <c r="I64"/>
      <c r="J64"/>
      <c r="K64" s="228"/>
      <c r="L64" s="5"/>
      <c r="M64"/>
    </row>
    <row r="65" spans="1:13" s="255" customFormat="1" ht="15.6">
      <c r="A65" s="10"/>
      <c r="B65" s="5"/>
      <c r="C65" s="256"/>
      <c r="D65" s="300"/>
      <c r="F65" s="19"/>
      <c r="G65"/>
      <c r="H65"/>
      <c r="I65"/>
      <c r="J65"/>
      <c r="K65" s="228"/>
      <c r="L65" s="5"/>
      <c r="M65"/>
    </row>
    <row r="66" spans="1:13" s="255" customFormat="1" ht="15.6">
      <c r="A66" s="10"/>
      <c r="B66" s="5"/>
      <c r="C66" s="256"/>
      <c r="D66" s="300"/>
      <c r="F66" s="19"/>
      <c r="G66"/>
      <c r="H66"/>
      <c r="I66"/>
      <c r="J66"/>
      <c r="K66" s="228"/>
      <c r="L66" s="5"/>
      <c r="M66"/>
    </row>
    <row r="67" spans="1:13" s="255" customFormat="1" ht="15.6">
      <c r="A67" s="10"/>
      <c r="B67" s="5"/>
      <c r="C67" s="256"/>
      <c r="D67" s="300"/>
      <c r="F67" s="19"/>
      <c r="G67"/>
      <c r="H67"/>
      <c r="I67"/>
      <c r="J67"/>
      <c r="K67" s="228"/>
      <c r="L67" s="5"/>
      <c r="M67"/>
    </row>
    <row r="68" spans="1:13" s="255" customFormat="1" ht="15.6">
      <c r="A68" s="10"/>
      <c r="B68" s="5"/>
      <c r="C68" s="256"/>
      <c r="D68" s="300"/>
      <c r="F68" s="19"/>
      <c r="G68"/>
      <c r="H68"/>
      <c r="I68"/>
      <c r="J68"/>
      <c r="K68" s="228"/>
      <c r="L68" s="5"/>
      <c r="M68"/>
    </row>
    <row r="69" spans="1:13" s="255" customFormat="1" ht="15.6">
      <c r="A69" s="10"/>
      <c r="B69" s="5"/>
      <c r="C69" s="256"/>
      <c r="D69" s="300"/>
      <c r="F69" s="19"/>
      <c r="G69"/>
      <c r="H69"/>
      <c r="I69"/>
      <c r="J69"/>
      <c r="K69" s="228"/>
      <c r="L69" s="5"/>
      <c r="M69"/>
    </row>
    <row r="70" spans="1:13" s="255" customFormat="1" ht="15.6">
      <c r="A70" s="10"/>
      <c r="B70" s="5"/>
      <c r="C70" s="256"/>
      <c r="D70" s="300"/>
      <c r="F70" s="19"/>
      <c r="G70"/>
      <c r="H70"/>
      <c r="I70"/>
      <c r="J70"/>
      <c r="K70" s="228"/>
      <c r="L70" s="5"/>
      <c r="M70"/>
    </row>
    <row r="71" spans="1:13" s="255" customFormat="1" ht="15.6">
      <c r="A71" s="10"/>
      <c r="B71" s="5"/>
      <c r="C71" s="256"/>
      <c r="D71" s="300"/>
      <c r="F71" s="19"/>
      <c r="G71"/>
      <c r="H71"/>
      <c r="I71"/>
      <c r="J71"/>
      <c r="K71" s="228"/>
      <c r="L71" s="5"/>
      <c r="M71"/>
    </row>
    <row r="72" spans="1:13" s="255" customFormat="1" ht="15.6">
      <c r="A72" s="10"/>
      <c r="B72" s="5"/>
      <c r="C72" s="256"/>
      <c r="D72" s="300"/>
      <c r="F72" s="19"/>
      <c r="G72"/>
      <c r="H72"/>
      <c r="I72"/>
      <c r="J72"/>
      <c r="K72" s="228"/>
      <c r="L72" s="5"/>
      <c r="M72"/>
    </row>
    <row r="73" spans="1:13" s="255" customFormat="1" ht="15.6">
      <c r="A73" s="10"/>
      <c r="B73" s="5"/>
      <c r="C73" s="256"/>
      <c r="D73" s="300"/>
      <c r="F73" s="19"/>
      <c r="G73"/>
      <c r="H73"/>
      <c r="I73"/>
      <c r="J73"/>
      <c r="K73" s="228"/>
      <c r="L73" s="5"/>
      <c r="M73"/>
    </row>
    <row r="74" spans="1:13" s="255" customFormat="1" ht="15.6">
      <c r="A74" s="10"/>
      <c r="B74" s="5"/>
      <c r="C74" s="256"/>
      <c r="D74" s="300"/>
      <c r="F74" s="19"/>
      <c r="G74"/>
      <c r="H74"/>
      <c r="I74"/>
      <c r="J74"/>
      <c r="K74" s="228"/>
      <c r="L74" s="5"/>
      <c r="M74"/>
    </row>
    <row r="75" spans="1:13" s="255" customFormat="1" ht="15.6">
      <c r="A75" s="10"/>
      <c r="B75" s="5"/>
      <c r="C75" s="256"/>
      <c r="D75" s="300"/>
      <c r="F75" s="19"/>
      <c r="G75"/>
      <c r="H75"/>
      <c r="I75"/>
      <c r="J75"/>
      <c r="K75" s="228"/>
      <c r="L75" s="5"/>
      <c r="M75"/>
    </row>
    <row r="76" spans="1:13" s="255" customFormat="1" ht="15.6">
      <c r="A76" s="10"/>
      <c r="B76" s="5"/>
      <c r="C76" s="256"/>
      <c r="D76" s="300"/>
      <c r="F76" s="19"/>
      <c r="G76"/>
      <c r="H76"/>
      <c r="I76"/>
      <c r="J76"/>
      <c r="K76" s="228"/>
      <c r="L76" s="5"/>
      <c r="M76"/>
    </row>
    <row r="77" spans="1:13" s="255" customFormat="1" ht="15.6">
      <c r="A77" s="10"/>
      <c r="B77" s="5"/>
      <c r="C77" s="256"/>
      <c r="D77" s="300"/>
      <c r="F77" s="19"/>
      <c r="G77"/>
      <c r="H77"/>
      <c r="I77"/>
      <c r="J77"/>
      <c r="K77" s="228"/>
      <c r="L77" s="5"/>
      <c r="M77"/>
    </row>
    <row r="78" spans="1:13" s="255" customFormat="1" ht="15.6">
      <c r="A78" s="10"/>
      <c r="B78" s="5"/>
      <c r="C78" s="256"/>
      <c r="D78" s="300"/>
      <c r="F78" s="19"/>
      <c r="G78"/>
      <c r="H78"/>
      <c r="I78"/>
      <c r="J78"/>
      <c r="K78" s="228"/>
      <c r="L78" s="5"/>
      <c r="M78"/>
    </row>
    <row r="79" spans="1:13" s="255" customFormat="1" ht="15.6">
      <c r="A79" s="10"/>
      <c r="B79" s="5"/>
      <c r="C79" s="256"/>
      <c r="D79" s="300"/>
      <c r="F79" s="19"/>
      <c r="G79"/>
      <c r="H79"/>
      <c r="I79"/>
      <c r="J79"/>
      <c r="K79" s="228"/>
      <c r="L79" s="5"/>
      <c r="M79"/>
    </row>
    <row r="80" spans="1:13" s="255" customFormat="1" ht="15.6">
      <c r="A80" s="10"/>
      <c r="B80" s="5"/>
      <c r="C80" s="256"/>
      <c r="D80" s="300"/>
      <c r="F80" s="19"/>
      <c r="G80"/>
      <c r="H80"/>
      <c r="I80"/>
      <c r="J80"/>
      <c r="K80" s="228"/>
      <c r="L80" s="5"/>
      <c r="M80"/>
    </row>
    <row r="81" spans="1:13" s="255" customFormat="1" ht="15.6">
      <c r="A81" s="10"/>
      <c r="B81" s="5"/>
      <c r="C81" s="256"/>
      <c r="D81" s="300"/>
      <c r="F81" s="19"/>
      <c r="G81"/>
      <c r="H81"/>
      <c r="I81"/>
      <c r="J81"/>
      <c r="K81" s="228"/>
      <c r="L81" s="5"/>
      <c r="M81"/>
    </row>
    <row r="82" spans="1:13" s="255" customFormat="1" ht="15.6">
      <c r="A82" s="10"/>
      <c r="B82" s="5"/>
      <c r="C82" s="256"/>
      <c r="D82" s="300"/>
      <c r="F82" s="19"/>
      <c r="G82"/>
      <c r="H82"/>
      <c r="I82"/>
      <c r="J82"/>
      <c r="K82" s="228"/>
      <c r="L82" s="5"/>
      <c r="M82"/>
    </row>
    <row r="83" spans="1:13" s="255" customFormat="1" ht="15.6">
      <c r="A83" s="10"/>
      <c r="B83" s="5"/>
      <c r="C83" s="256"/>
      <c r="D83" s="300"/>
      <c r="F83" s="19"/>
      <c r="G83"/>
      <c r="H83"/>
      <c r="I83"/>
      <c r="J83"/>
      <c r="K83" s="228"/>
      <c r="L83" s="5"/>
      <c r="M83"/>
    </row>
    <row r="84" spans="1:13" s="255" customFormat="1" ht="15.6">
      <c r="A84" s="10"/>
      <c r="B84" s="5"/>
      <c r="C84" s="256"/>
      <c r="D84" s="300"/>
      <c r="F84" s="19"/>
      <c r="G84"/>
      <c r="H84"/>
      <c r="I84"/>
      <c r="J84"/>
      <c r="K84" s="228"/>
      <c r="L84" s="5"/>
      <c r="M84"/>
    </row>
  </sheetData>
  <autoFilter ref="A5:M38" xr:uid="{CB3395C7-DED4-4694-A52D-4677CA244917}"/>
  <mergeCells count="77">
    <mergeCell ref="A1:A4"/>
    <mergeCell ref="B1:B3"/>
    <mergeCell ref="I1:J2"/>
    <mergeCell ref="H6:H8"/>
    <mergeCell ref="L6:L8"/>
    <mergeCell ref="M6:M8"/>
    <mergeCell ref="A6:A8"/>
    <mergeCell ref="B6:B8"/>
    <mergeCell ref="C6:C8"/>
    <mergeCell ref="D6:D8"/>
    <mergeCell ref="E6:E8"/>
    <mergeCell ref="F6:F8"/>
    <mergeCell ref="G6:G8"/>
    <mergeCell ref="G10:G11"/>
    <mergeCell ref="H10:H11"/>
    <mergeCell ref="K10:K11"/>
    <mergeCell ref="M10:M11"/>
    <mergeCell ref="A10:A11"/>
    <mergeCell ref="B10:B11"/>
    <mergeCell ref="C10:C11"/>
    <mergeCell ref="D10:D11"/>
    <mergeCell ref="E10:E11"/>
    <mergeCell ref="F10:F11"/>
    <mergeCell ref="M12:M16"/>
    <mergeCell ref="A12:A16"/>
    <mergeCell ref="B12:B16"/>
    <mergeCell ref="C12:C16"/>
    <mergeCell ref="D12:D16"/>
    <mergeCell ref="K21:K23"/>
    <mergeCell ref="L21:L23"/>
    <mergeCell ref="M21:M23"/>
    <mergeCell ref="A24:A26"/>
    <mergeCell ref="B24:B26"/>
    <mergeCell ref="C24:C26"/>
    <mergeCell ref="D24:D26"/>
    <mergeCell ref="E24:E26"/>
    <mergeCell ref="A21:A23"/>
    <mergeCell ref="B21:B23"/>
    <mergeCell ref="C21:C23"/>
    <mergeCell ref="D21:D23"/>
    <mergeCell ref="E21:E23"/>
    <mergeCell ref="F21:F23"/>
    <mergeCell ref="G21:G23"/>
    <mergeCell ref="H21:H23"/>
    <mergeCell ref="F24:F26"/>
    <mergeCell ref="G24:G26"/>
    <mergeCell ref="H24:H26"/>
    <mergeCell ref="L24:L26"/>
    <mergeCell ref="M24:M26"/>
    <mergeCell ref="L29:L31"/>
    <mergeCell ref="M29:M31"/>
    <mergeCell ref="A29:A31"/>
    <mergeCell ref="B29:B31"/>
    <mergeCell ref="C29:C31"/>
    <mergeCell ref="D29:D31"/>
    <mergeCell ref="E29:E31"/>
    <mergeCell ref="D57:D84"/>
    <mergeCell ref="F29:F31"/>
    <mergeCell ref="G29:G31"/>
    <mergeCell ref="H29:H31"/>
    <mergeCell ref="K29:K31"/>
    <mergeCell ref="M18:M20"/>
    <mergeCell ref="E12:E16"/>
    <mergeCell ref="A18:A20"/>
    <mergeCell ref="B18:B20"/>
    <mergeCell ref="C18:C20"/>
    <mergeCell ref="D18:D20"/>
    <mergeCell ref="E18:E20"/>
    <mergeCell ref="F18:F20"/>
    <mergeCell ref="G18:G20"/>
    <mergeCell ref="H18:H20"/>
    <mergeCell ref="K18:K20"/>
    <mergeCell ref="L18:L20"/>
    <mergeCell ref="F12:F16"/>
    <mergeCell ref="G12:G16"/>
    <mergeCell ref="H12:H16"/>
    <mergeCell ref="L12:L16"/>
  </mergeCells>
  <conditionalFormatting sqref="D1:F6 D7:D8 F7:F8 D9:F10 D12:F12 D13:D16 F13:F16 D21:F21 D22:D23 F22:F23 D24:F24 D25:D26 F25:F26 D27:F29 D30:D31 F30:F31 D32:F56 E57:F84 D85:F1048576">
    <cfRule type="beginsWith" dxfId="47" priority="3" stopIfTrue="1" operator="beginsWith" text="AC">
      <formula>LEFT(D1,LEN("AC"))="AC"</formula>
    </cfRule>
    <cfRule type="beginsWith" dxfId="46" priority="4" stopIfTrue="1" operator="beginsWith" text="IN">
      <formula>LEFT(D1,LEN("IN"))="IN"</formula>
    </cfRule>
  </conditionalFormatting>
  <conditionalFormatting sqref="D17:F18 D19:D20 F19:F20">
    <cfRule type="beginsWith" dxfId="45" priority="1" stopIfTrue="1" operator="beginsWith" text="AC">
      <formula>LEFT(D17,LEN("AC"))="AC"</formula>
    </cfRule>
    <cfRule type="beginsWith" dxfId="44" priority="2" stopIfTrue="1" operator="beginsWith" text="IN">
      <formula>LEFT(D17,LEN("IN"))="IN"</formula>
    </cfRule>
  </conditionalFormatting>
  <hyperlinks>
    <hyperlink ref="L6" r:id="rId1" xr:uid="{D0FF58BA-A97D-43E1-8EE7-68260A1FE40A}"/>
    <hyperlink ref="L29" r:id="rId2" xr:uid="{C479CEC5-13C3-4F57-B188-D7BD625B815E}"/>
    <hyperlink ref="L32" r:id="rId3" xr:uid="{0E303126-8284-42A2-A281-F4CE5018ECC8}"/>
    <hyperlink ref="L27" r:id="rId4" xr:uid="{0F6C38F5-6563-4EBC-A227-6F9BC343FDEA}"/>
    <hyperlink ref="L10" r:id="rId5" xr:uid="{54634F29-2C3A-4140-BDE5-1488B796FCD9}"/>
    <hyperlink ref="L11" r:id="rId6" xr:uid="{79FBBBD7-AE6D-4771-A2EE-6C777190E239}"/>
    <hyperlink ref="L28" r:id="rId7" xr:uid="{2DEEC92C-5F11-482A-8DE3-47F3E913934E}"/>
    <hyperlink ref="L17" r:id="rId8" xr:uid="{2A57ADE4-2116-4BDC-A097-98834CCB3F08}"/>
    <hyperlink ref="L24" r:id="rId9" xr:uid="{264C62F3-8EE4-4813-AB6F-C2CF470B7350}"/>
    <hyperlink ref="L12" r:id="rId10" xr:uid="{BF5EFFFA-F675-4D10-B077-9BDC5C9DC40B}"/>
    <hyperlink ref="L21" r:id="rId11" xr:uid="{25F01FC9-1527-4F77-9279-09874085C17F}"/>
    <hyperlink ref="L18" r:id="rId12" xr:uid="{F8A295D2-B6F4-4046-B96F-0C6755EF0DF0}"/>
  </hyperlinks>
  <pageMargins left="0.25" right="0.25" top="0.75" bottom="0.75" header="0.3" footer="0.3"/>
  <pageSetup scale="23" fitToHeight="0" orientation="portrait" horizontalDpi="4294967293" r:id="rId13"/>
  <drawing r:id="rId1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3464-943D-4A2E-B384-4AE88C5CC185}">
  <dimension ref="A1:D33"/>
  <sheetViews>
    <sheetView showGridLines="0" view="pageBreakPreview" zoomScale="60" zoomScaleNormal="110" workbookViewId="0">
      <selection activeCell="D14" sqref="D14"/>
    </sheetView>
  </sheetViews>
  <sheetFormatPr baseColWidth="10" defaultColWidth="11.44140625" defaultRowHeight="14.4"/>
  <cols>
    <col min="1" max="1" width="31" customWidth="1"/>
    <col min="2" max="2" width="46.44140625" customWidth="1"/>
    <col min="3" max="3" width="21.109375" customWidth="1"/>
    <col min="4" max="4" width="22.6640625" customWidth="1"/>
  </cols>
  <sheetData>
    <row r="1" spans="1:4" ht="15.6">
      <c r="A1" s="464"/>
      <c r="B1" s="467" t="s">
        <v>248</v>
      </c>
      <c r="C1" s="65" t="s">
        <v>244</v>
      </c>
      <c r="D1" s="66" t="s">
        <v>260</v>
      </c>
    </row>
    <row r="2" spans="1:4" ht="15.6">
      <c r="A2" s="465"/>
      <c r="B2" s="296"/>
      <c r="C2" s="52" t="s">
        <v>245</v>
      </c>
      <c r="D2" s="67" t="s">
        <v>249</v>
      </c>
    </row>
    <row r="3" spans="1:4" ht="15.6">
      <c r="A3" s="465"/>
      <c r="B3" s="296"/>
      <c r="C3" s="52" t="s">
        <v>246</v>
      </c>
      <c r="D3" s="68">
        <v>45519</v>
      </c>
    </row>
    <row r="4" spans="1:4" ht="15.6">
      <c r="A4" s="466"/>
      <c r="B4" s="64" t="s">
        <v>271</v>
      </c>
      <c r="C4" s="61" t="s">
        <v>247</v>
      </c>
      <c r="D4" s="67" t="s">
        <v>269</v>
      </c>
    </row>
    <row r="5" spans="1:4">
      <c r="A5" s="69" t="s">
        <v>272</v>
      </c>
      <c r="B5" s="29" t="s">
        <v>135</v>
      </c>
      <c r="C5" s="29" t="s">
        <v>136</v>
      </c>
      <c r="D5" s="70"/>
    </row>
    <row r="6" spans="1:4">
      <c r="A6" s="24">
        <v>1</v>
      </c>
      <c r="B6" s="26" t="s">
        <v>137</v>
      </c>
      <c r="C6" s="20" t="s">
        <v>138</v>
      </c>
      <c r="D6" s="8"/>
    </row>
    <row r="7" spans="1:4">
      <c r="A7" s="24">
        <v>2</v>
      </c>
      <c r="B7" s="26" t="s">
        <v>139</v>
      </c>
      <c r="C7" s="20" t="s">
        <v>140</v>
      </c>
      <c r="D7" s="8"/>
    </row>
    <row r="8" spans="1:4">
      <c r="A8" s="24">
        <v>3</v>
      </c>
      <c r="B8" s="26" t="s">
        <v>141</v>
      </c>
      <c r="C8" s="20" t="s">
        <v>142</v>
      </c>
      <c r="D8" s="8"/>
    </row>
    <row r="9" spans="1:4">
      <c r="A9" s="24">
        <v>4</v>
      </c>
      <c r="B9" s="26" t="s">
        <v>143</v>
      </c>
      <c r="C9" s="20" t="s">
        <v>144</v>
      </c>
      <c r="D9" s="8"/>
    </row>
    <row r="10" spans="1:4">
      <c r="A10" s="24">
        <v>5</v>
      </c>
      <c r="B10" s="26" t="s">
        <v>145</v>
      </c>
      <c r="C10" s="20" t="s">
        <v>146</v>
      </c>
      <c r="D10" s="8"/>
    </row>
    <row r="11" spans="1:4">
      <c r="A11" s="24">
        <v>6</v>
      </c>
      <c r="B11" s="26" t="s">
        <v>147</v>
      </c>
      <c r="C11" s="20" t="s">
        <v>148</v>
      </c>
      <c r="D11" s="8"/>
    </row>
    <row r="12" spans="1:4">
      <c r="A12" s="24">
        <v>7</v>
      </c>
      <c r="B12" s="26" t="s">
        <v>149</v>
      </c>
      <c r="C12" s="20" t="s">
        <v>150</v>
      </c>
      <c r="D12" s="8"/>
    </row>
    <row r="13" spans="1:4">
      <c r="A13" s="24">
        <v>8</v>
      </c>
      <c r="B13" s="26" t="s">
        <v>151</v>
      </c>
      <c r="C13" s="20" t="s">
        <v>152</v>
      </c>
      <c r="D13" s="8"/>
    </row>
    <row r="14" spans="1:4">
      <c r="A14" s="24">
        <v>9</v>
      </c>
      <c r="B14" s="26" t="s">
        <v>153</v>
      </c>
      <c r="C14" s="20" t="s">
        <v>154</v>
      </c>
      <c r="D14" s="8"/>
    </row>
    <row r="15" spans="1:4">
      <c r="A15" s="24">
        <v>10</v>
      </c>
      <c r="B15" s="26" t="s">
        <v>155</v>
      </c>
      <c r="C15" s="20" t="s">
        <v>156</v>
      </c>
      <c r="D15" s="8"/>
    </row>
    <row r="16" spans="1:4">
      <c r="A16" s="24">
        <v>11</v>
      </c>
      <c r="B16" s="26" t="s">
        <v>157</v>
      </c>
      <c r="C16" s="20" t="s">
        <v>158</v>
      </c>
      <c r="D16" s="8"/>
    </row>
    <row r="17" spans="1:4">
      <c r="A17" s="24">
        <v>12</v>
      </c>
      <c r="B17" s="26" t="s">
        <v>159</v>
      </c>
      <c r="C17" s="20" t="s">
        <v>160</v>
      </c>
      <c r="D17" s="8"/>
    </row>
    <row r="18" spans="1:4">
      <c r="A18" s="24">
        <v>13</v>
      </c>
      <c r="B18" s="26" t="s">
        <v>161</v>
      </c>
      <c r="C18" s="20" t="s">
        <v>162</v>
      </c>
      <c r="D18" s="8"/>
    </row>
    <row r="19" spans="1:4">
      <c r="A19" s="24">
        <v>14</v>
      </c>
      <c r="B19" s="26" t="s">
        <v>163</v>
      </c>
      <c r="C19" s="20" t="s">
        <v>164</v>
      </c>
      <c r="D19" s="8"/>
    </row>
    <row r="20" spans="1:4">
      <c r="A20" s="24">
        <v>15</v>
      </c>
      <c r="B20" s="26" t="s">
        <v>165</v>
      </c>
      <c r="C20" s="20" t="s">
        <v>166</v>
      </c>
      <c r="D20" s="8"/>
    </row>
    <row r="21" spans="1:4">
      <c r="A21" s="24">
        <v>16</v>
      </c>
      <c r="B21" s="26" t="s">
        <v>167</v>
      </c>
      <c r="C21" s="20" t="s">
        <v>168</v>
      </c>
      <c r="D21" s="8"/>
    </row>
    <row r="22" spans="1:4">
      <c r="A22" s="24">
        <v>17</v>
      </c>
      <c r="B22" s="26" t="s">
        <v>169</v>
      </c>
      <c r="C22" s="20" t="s">
        <v>170</v>
      </c>
      <c r="D22" s="8"/>
    </row>
    <row r="23" spans="1:4">
      <c r="A23" s="24">
        <v>18</v>
      </c>
      <c r="B23" s="26" t="s">
        <v>171</v>
      </c>
      <c r="C23" s="20" t="s">
        <v>172</v>
      </c>
      <c r="D23" s="8"/>
    </row>
    <row r="24" spans="1:4">
      <c r="A24" s="24">
        <v>19</v>
      </c>
      <c r="B24" s="27" t="s">
        <v>173</v>
      </c>
      <c r="C24" s="28" t="s">
        <v>174</v>
      </c>
      <c r="D24" s="8"/>
    </row>
    <row r="25" spans="1:4">
      <c r="A25" s="24">
        <v>20</v>
      </c>
      <c r="B25" s="26" t="s">
        <v>175</v>
      </c>
      <c r="C25" s="20" t="s">
        <v>176</v>
      </c>
      <c r="D25" s="8"/>
    </row>
    <row r="26" spans="1:4">
      <c r="A26" s="24">
        <v>21</v>
      </c>
      <c r="B26" s="26" t="s">
        <v>273</v>
      </c>
      <c r="C26" s="20" t="s">
        <v>274</v>
      </c>
      <c r="D26" s="8"/>
    </row>
    <row r="27" spans="1:4">
      <c r="A27" s="24">
        <v>22</v>
      </c>
      <c r="B27" s="7"/>
      <c r="C27" s="7"/>
      <c r="D27" s="8"/>
    </row>
    <row r="28" spans="1:4">
      <c r="A28" s="24">
        <v>23</v>
      </c>
      <c r="B28" s="7"/>
      <c r="C28" s="7"/>
      <c r="D28" s="8"/>
    </row>
    <row r="29" spans="1:4">
      <c r="A29" s="24">
        <v>24</v>
      </c>
      <c r="B29" s="7"/>
      <c r="C29" s="7"/>
      <c r="D29" s="8"/>
    </row>
    <row r="30" spans="1:4">
      <c r="A30" s="71"/>
      <c r="B30" s="7"/>
      <c r="C30" s="7"/>
      <c r="D30" s="8"/>
    </row>
    <row r="31" spans="1:4">
      <c r="A31" s="71"/>
      <c r="B31" s="7"/>
      <c r="C31" s="7"/>
      <c r="D31" s="8"/>
    </row>
    <row r="32" spans="1:4">
      <c r="A32" s="71"/>
      <c r="B32" s="7"/>
      <c r="C32" s="7"/>
      <c r="D32" s="8"/>
    </row>
    <row r="33" spans="1:4" ht="15" thickBot="1">
      <c r="A33" s="72"/>
      <c r="B33" s="73"/>
      <c r="C33" s="73"/>
      <c r="D33" s="9"/>
    </row>
  </sheetData>
  <mergeCells count="2">
    <mergeCell ref="A1:A4"/>
    <mergeCell ref="B1:B3"/>
  </mergeCells>
  <conditionalFormatting sqref="C1:C4">
    <cfRule type="containsText" dxfId="43" priority="1" operator="containsText" text="IN">
      <formula>NOT(ISERROR(SEARCH("IN",C1)))</formula>
    </cfRule>
    <cfRule type="containsText" dxfId="42" priority="2" operator="containsText" text="ACTIVO">
      <formula>NOT(ISERROR(SEARCH("ACTIVO",C1)))</formula>
    </cfRule>
  </conditionalFormatting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Catalogo de proveedores</vt:lpstr>
      <vt:lpstr>Codigo de colores </vt:lpstr>
      <vt:lpstr>Lista de proveedores Obsoleta</vt:lpstr>
      <vt:lpstr>Lista de proveedores Aleantes</vt:lpstr>
      <vt:lpstr>Lista de proveedores No aprobad</vt:lpstr>
      <vt:lpstr>Lista de proveedores Aprobados</vt:lpstr>
      <vt:lpstr>Codificación de MP</vt:lpstr>
      <vt:lpstr>'Lista de proveedores Aleantes'!Área_de_impresión</vt:lpstr>
      <vt:lpstr>'Lista de proveedores Aprobados'!Área_de_impresión</vt:lpstr>
      <vt:lpstr>'Lista de proveedores No aprobad'!Área_de_impresión</vt:lpstr>
      <vt:lpstr>'Lista de proveedores Obsoleta'!Área_de_impresión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Alfaro</dc:creator>
  <cp:lastModifiedBy>TI SOPORTE</cp:lastModifiedBy>
  <cp:lastPrinted>2025-04-16T20:32:25Z</cp:lastPrinted>
  <dcterms:created xsi:type="dcterms:W3CDTF">2024-02-23T18:05:00Z</dcterms:created>
  <dcterms:modified xsi:type="dcterms:W3CDTF">2025-09-11T20:45:01Z</dcterms:modified>
</cp:coreProperties>
</file>